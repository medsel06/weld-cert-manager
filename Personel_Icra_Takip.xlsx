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ULLANIM" sheetId="1" state="visible" r:id="rId1"/>
    <sheet name="İCRA DOSYALARI" sheetId="2" state="visible" r:id="rId2"/>
    <sheet name="AYLIK KESİNTİLER" sheetId="3" state="visible" r:id="rId3"/>
    <sheet name="PERSONEL ÖZET" sheetId="4" state="visible" r:id="rId4"/>
  </sheets>
  <definedNames>
    <definedName name="PersonelListesi">'İCRA DOSYALARI'!$A$2:$A$200</definedName>
    <definedName name="_xlnm._FilterDatabase" localSheetId="1" hidden="1">'İCRA DOSYALARI'!$A$1:$R$200</definedName>
    <definedName name="_xlnm._FilterDatabase" localSheetId="2" hidden="1">'AYLIK KESİNTİLER'!$A$1:$F$5000</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1F4E78"/>
      <sz val="14"/>
    </font>
    <font>
      <b val="1"/>
      <color rgb="001F4E78"/>
      <sz val="11"/>
    </font>
    <font>
      <b val="1"/>
      <color rgb="00FFFFFF"/>
    </font>
    <font>
      <b val="1"/>
      <color rgb="00FFFFFF"/>
      <sz val="10"/>
    </font>
  </fonts>
  <fills count="4">
    <fill>
      <patternFill/>
    </fill>
    <fill>
      <patternFill patternType="gray125"/>
    </fill>
    <fill>
      <patternFill patternType="solid">
        <fgColor rgb="001F4E78"/>
        <bgColor rgb="001F4E78"/>
      </patternFill>
    </fill>
    <fill>
      <patternFill patternType="solid">
        <fgColor rgb="00C65911"/>
        <bgColor rgb="00C659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1" pivotButton="0" quotePrefix="0" xfId="0"/>
    <xf numFmtId="49" fontId="0" fillId="0" borderId="1" pivotButton="0" quotePrefix="0" xfId="0"/>
    <xf numFmtId="164" fontId="0" fillId="0" borderId="1" pivotButton="0" quotePrefix="0" xfId="0"/>
    <xf numFmtId="4" fontId="0" fillId="0" borderId="1" pivotButton="0" quotePrefix="0" xfId="0"/>
    <xf numFmtId="0" fontId="0" fillId="0" borderId="1" applyAlignment="1" pivotButton="0" quotePrefix="0" xfId="0">
      <alignment horizontal="center"/>
    </xf>
    <xf numFmtId="4" fontId="0" fillId="0"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2:A17"/>
  <sheetViews>
    <sheetView workbookViewId="0">
      <selection activeCell="A1" sqref="A1"/>
    </sheetView>
  </sheetViews>
  <sheetFormatPr baseColWidth="8" defaultRowHeight="15"/>
  <cols>
    <col width="118" customWidth="1" min="1" max="1"/>
  </cols>
  <sheetData>
    <row r="2" ht="20" customHeight="1">
      <c r="A2" s="1" t="inlineStr">
        <is>
          <t>PERSONEL İCRA TAKİP DOSYASI</t>
        </is>
      </c>
    </row>
    <row r="3" ht="34" customHeight="1">
      <c r="A3" s="2" t="inlineStr">
        <is>
          <t>Bir personelin birden fazla icra dosyasını öncelik sırasına göre izler; aylık kesintileri toplar, kalan borcu ve hangi dosyanın ödemede olduğunu kendisi hesaplar.</t>
        </is>
      </c>
    </row>
    <row r="4" ht="20" customHeight="1">
      <c r="A4" s="2" t="inlineStr"/>
    </row>
    <row r="5" ht="34" customHeight="1">
      <c r="A5" s="2" t="inlineStr">
        <is>
          <t>1) İCRA DOSYALARI sayfasına her icra dosyasını AYRI SATIR olarak girin. Aynı personelin 5 icrası varsa 5 satır açın ve 'Öncelik Sırası' kolonuna 1, 2, 3, 4, 5 yazın.</t>
        </is>
      </c>
    </row>
    <row r="6" ht="34" customHeight="1">
      <c r="A6" s="2" t="inlineStr">
        <is>
          <t>2) Her ay bordrodan yapılan icra kesintisini AYLIK KESİNTİLER sayfasına bir satır olarak girin. Personel adı ve dosya numarası, İCRA DOSYALARI sayfasındakiyle BİREBİR AYNI yazılmalıdır (personel adı hücresinde hazır açılır liste vardır).</t>
        </is>
      </c>
    </row>
    <row r="7" ht="34" customHeight="1">
      <c r="A7" s="2" t="inlineStr">
        <is>
          <t>3) Hesaplamalar otomatiktir: 'Bordro Kesintileri Toplamı' aylık kesintilerden gelir; Kalan Borç = İcra Tutarı - (Önceki Firmada Tahsil + Bordro Kesintileri).</t>
        </is>
      </c>
    </row>
    <row r="8" ht="34" customHeight="1">
      <c r="A8" s="2" t="inlineStr">
        <is>
          <t>4) DURUM kolonu kendiliğinden değişir:  KAPANDI = kalan borç 0'a indi;  ÖDEMEDE = açık dosyalar içinde önceliği en küçük olan;  SIRADA = öndeki dosya kapanınca ödemeye girecek olan. Yani 1. sıradaki icra bitince 2. sıradaki kendiliğinden ÖDEMEDE konumuna geçer.</t>
        </is>
      </c>
    </row>
    <row r="9" ht="34" customHeight="1">
      <c r="A9" s="2" t="inlineStr">
        <is>
          <t>5) Personel önceki firmasında/şubesinde aynı dosyadan kesinti yaptırdıysa bu tutarı 'Önceki Firmada Tahsil' kolonuna yazın.</t>
        </is>
      </c>
    </row>
    <row r="10" ht="34" customHeight="1">
      <c r="A10" s="2" t="inlineStr">
        <is>
          <t>6) PERSONEL ÖZET sayfası personel bazında toplamları ve şu an ödemede olan dosyayı gösterir. Yeni personel için adı A kolonuna yazmanız yeterlidir.</t>
        </is>
      </c>
    </row>
    <row r="11" ht="20" customHeight="1">
      <c r="A11" s="2" t="inlineStr"/>
    </row>
    <row r="12" ht="20" customHeight="1">
      <c r="A12" s="3" t="inlineStr">
        <is>
          <t>RENK REHBERİ</t>
        </is>
      </c>
    </row>
    <row r="13" ht="20" customHeight="1">
      <c r="A13" s="4" t="inlineStr">
        <is>
          <t>LACİVERT başlıklı kolonlar elle doldurulur.</t>
        </is>
      </c>
    </row>
    <row r="14" ht="20" customHeight="1">
      <c r="A14" s="5" t="inlineStr">
        <is>
          <t>TURUNCU başlıklı kolonlar formüllüdür; bu kolonlara elle veri GİRMEYİN, silmeyin.</t>
        </is>
      </c>
    </row>
    <row r="15" ht="34" customHeight="1">
      <c r="A15" s="2" t="inlineStr">
        <is>
          <t>Formüller 200 dosya satırı / 5.000 kesinti satırı için hazırdır. Daha fazlası gerekirse son formüllü satırı seçip aşağı kopyalayın.</t>
        </is>
      </c>
    </row>
    <row r="16" ht="20" customHeight="1">
      <c r="A16" s="2" t="inlineStr"/>
    </row>
    <row r="17" ht="20" customHeight="1">
      <c r="A17" s="2" t="inlineStr">
        <is>
          <t>DURUM RENKLERİ:   YEŞİL = ÖDEMEDE     SARI = SIRADA     GRİ = KAPANDI</t>
        </is>
      </c>
    </row>
  </sheetData>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S2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2" customWidth="1" min="3" max="3"/>
    <col width="16" customWidth="1" min="4" max="4"/>
    <col width="9" customWidth="1" min="5" max="5"/>
    <col width="30" customWidth="1" min="6" max="6"/>
    <col width="34" customWidth="1" min="7" max="7"/>
    <col width="14" customWidth="1" min="8" max="8"/>
    <col width="12" customWidth="1" min="9" max="9"/>
    <col width="12" customWidth="1" min="10" max="10"/>
    <col width="13" customWidth="1" min="11" max="11"/>
    <col width="13" customWidth="1" min="12" max="12"/>
    <col width="14" customWidth="1" min="13" max="13"/>
    <col width="14" customWidth="1" min="14" max="14"/>
    <col width="14" customWidth="1" min="15" max="15"/>
    <col width="12" customWidth="1" min="16" max="16"/>
    <col width="28" customWidth="1" min="17" max="17"/>
    <col width="24" customWidth="1" min="18" max="18"/>
    <col hidden="1" width="4" customWidth="1" min="19" max="19"/>
  </cols>
  <sheetData>
    <row r="1" ht="32" customHeight="1">
      <c r="A1" s="6" t="inlineStr">
        <is>
          <t>Personel Adı Soyadı</t>
        </is>
      </c>
      <c r="B1" s="6" t="inlineStr">
        <is>
          <t>T.C. Kimlik No</t>
        </is>
      </c>
      <c r="C1" s="6" t="inlineStr">
        <is>
          <t>Dosya Tarihi</t>
        </is>
      </c>
      <c r="D1" s="6" t="inlineStr">
        <is>
          <t>Dosya Numarası</t>
        </is>
      </c>
      <c r="E1" s="6" t="inlineStr">
        <is>
          <t>Öncelik Sırası</t>
        </is>
      </c>
      <c r="F1" s="6" t="inlineStr">
        <is>
          <t>İcra Dairesi</t>
        </is>
      </c>
      <c r="G1" s="6" t="inlineStr">
        <is>
          <t>Alacaklı</t>
        </is>
      </c>
      <c r="H1" s="6" t="inlineStr">
        <is>
          <t>İcra Tutarı (TL)</t>
        </is>
      </c>
      <c r="I1" s="6" t="inlineStr">
        <is>
          <t>Kesinti Şekli</t>
        </is>
      </c>
      <c r="J1" s="6" t="inlineStr">
        <is>
          <t>Kesinti Oranı (örn. 1/4)</t>
        </is>
      </c>
      <c r="K1" s="6" t="inlineStr">
        <is>
          <t>Aylık Kesinti Tutarı (TL)</t>
        </is>
      </c>
      <c r="L1" s="6" t="inlineStr">
        <is>
          <t>Önceki Firmada Tahsil (TL)</t>
        </is>
      </c>
      <c r="M1" s="7" t="inlineStr">
        <is>
          <t>Bordro Kesintileri Toplamı (TL)</t>
        </is>
      </c>
      <c r="N1" s="7" t="inlineStr">
        <is>
          <t>Toplam Tahsil Edilen (TL)</t>
        </is>
      </c>
      <c r="O1" s="7" t="inlineStr">
        <is>
          <t>Kalan Borç (TL)</t>
        </is>
      </c>
      <c r="P1" s="7" t="inlineStr">
        <is>
          <t>DURUM</t>
        </is>
      </c>
      <c r="Q1" s="6" t="inlineStr">
        <is>
          <t>Ödeme Yapılacak Banka / IBAN</t>
        </is>
      </c>
      <c r="R1" s="6" t="inlineStr">
        <is>
          <t>Açıklama</t>
        </is>
      </c>
      <c r="S1" s="7" t="inlineStr">
        <is>
          <t>(otomatik - silmeyin)</t>
        </is>
      </c>
    </row>
    <row r="2">
      <c r="A2" s="8" t="inlineStr">
        <is>
          <t>MERT TÜZE</t>
        </is>
      </c>
      <c r="B2" s="9" t="inlineStr">
        <is>
          <t>38128425238</t>
        </is>
      </c>
      <c r="C2" s="10" t="n">
        <v>46076</v>
      </c>
      <c r="D2" s="8" t="inlineStr">
        <is>
          <t>2025/203385</t>
        </is>
      </c>
      <c r="E2" s="8" t="n">
        <v>1</v>
      </c>
      <c r="F2" s="8" t="inlineStr">
        <is>
          <t>BANKA ALACAKLARI İCRA DAİRESİ</t>
        </is>
      </c>
      <c r="G2" s="8" t="inlineStr">
        <is>
          <t>AKBANK TÜRK ANONİM ŞİRKETİ</t>
        </is>
      </c>
      <c r="H2" s="11" t="n">
        <v>130656.65</v>
      </c>
      <c r="I2" s="8" t="inlineStr">
        <is>
          <t>Oran</t>
        </is>
      </c>
      <c r="J2" s="8" t="inlineStr">
        <is>
          <t>1/4</t>
        </is>
      </c>
      <c r="K2" s="11" t="n"/>
      <c r="L2" s="11" t="n">
        <v>0</v>
      </c>
      <c r="M2" s="11">
        <f>IF($D2="","",SUMIFS('AYLIK KESİNTİLER'!$E$2:$E$5000,'AYLIK KESİNTİLER'!$A$2:$A$5000,$A2,'AYLIK KESİNTİLER'!$B$2:$B$5000,$D2))</f>
        <v/>
      </c>
      <c r="N2" s="11">
        <f>IF($D2="","",$L2+$M2)</f>
        <v/>
      </c>
      <c r="O2" s="11">
        <f>IF($D2="","",$H2-$N2)</f>
        <v/>
      </c>
      <c r="P2" s="12">
        <f>IF($D2="","",IF($O2&lt;=0,"KAPANDI",IF(COUNTIFS($A$2:$A$200,$A2,$E$2:$E$200,"&lt;"&amp;$E2,$O$2:$O$200,"&gt;0")=0,"ÖDEMEDE","SIRADA")))</f>
        <v/>
      </c>
      <c r="Q2" s="8" t="n"/>
      <c r="R2" s="8" t="inlineStr">
        <is>
          <t>ÖRNEK KAYIT - silebilirsiniz</t>
        </is>
      </c>
      <c r="S2">
        <f>IF($D2="","",$A2&amp;"|"&amp;$P2)</f>
        <v/>
      </c>
    </row>
    <row r="3">
      <c r="A3" s="8" t="inlineStr">
        <is>
          <t>MERT TÜZE</t>
        </is>
      </c>
      <c r="B3" s="9" t="inlineStr">
        <is>
          <t>38128425238</t>
        </is>
      </c>
      <c r="C3" s="10" t="n">
        <v>46183</v>
      </c>
      <c r="D3" s="8" t="inlineStr">
        <is>
          <t>deneme</t>
        </is>
      </c>
      <c r="E3" s="8" t="n">
        <v>2</v>
      </c>
      <c r="F3" s="8" t="inlineStr"/>
      <c r="G3" s="8" t="inlineStr"/>
      <c r="H3" s="11" t="n">
        <v>10000</v>
      </c>
      <c r="I3" s="8" t="inlineStr">
        <is>
          <t>Sabit Tutar</t>
        </is>
      </c>
      <c r="J3" s="8" t="inlineStr"/>
      <c r="K3" s="11" t="n">
        <v>10000</v>
      </c>
      <c r="L3" s="11" t="n">
        <v>0</v>
      </c>
      <c r="M3" s="11">
        <f>IF($D3="","",SUMIFS('AYLIK KESİNTİLER'!$E$2:$E$5000,'AYLIK KESİNTİLER'!$A$2:$A$5000,$A3,'AYLIK KESİNTİLER'!$B$2:$B$5000,$D3))</f>
        <v/>
      </c>
      <c r="N3" s="11">
        <f>IF($D3="","",$L3+$M3)</f>
        <v/>
      </c>
      <c r="O3" s="11">
        <f>IF($D3="","",$H3-$N3)</f>
        <v/>
      </c>
      <c r="P3" s="12">
        <f>IF($D3="","",IF($O3&lt;=0,"KAPANDI",IF(COUNTIFS($A$2:$A$200,$A3,$E$2:$E$200,"&lt;"&amp;$E3,$O$2:$O$200,"&gt;0")=0,"ÖDEMEDE","SIRADA")))</f>
        <v/>
      </c>
      <c r="Q3" s="8" t="n"/>
      <c r="R3" s="8" t="inlineStr">
        <is>
          <t>ÖRNEK KAYIT - silebilirsiniz</t>
        </is>
      </c>
      <c r="S3">
        <f>IF($D3="","",$A3&amp;"|"&amp;$P3)</f>
        <v/>
      </c>
    </row>
    <row r="4">
      <c r="A4" s="8" t="inlineStr">
        <is>
          <t>AHMET BAŞOĞLU</t>
        </is>
      </c>
      <c r="B4" s="9" t="inlineStr">
        <is>
          <t>12856239602</t>
        </is>
      </c>
      <c r="C4" s="10" t="n">
        <v>46037</v>
      </c>
      <c r="D4" s="8" t="inlineStr">
        <is>
          <t>2024/101010</t>
        </is>
      </c>
      <c r="E4" s="8" t="n">
        <v>1</v>
      </c>
      <c r="F4" s="8" t="inlineStr">
        <is>
          <t>ANKARA 5. İCRA DAİRESİ</t>
        </is>
      </c>
      <c r="G4" s="8" t="inlineStr">
        <is>
          <t>X FİNANS A.Ş.</t>
        </is>
      </c>
      <c r="H4" s="11" t="n">
        <v>5000</v>
      </c>
      <c r="I4" s="8" t="inlineStr">
        <is>
          <t>Sabit Tutar</t>
        </is>
      </c>
      <c r="J4" s="8" t="inlineStr"/>
      <c r="K4" s="11" t="n">
        <v>2500</v>
      </c>
      <c r="L4" s="11" t="n">
        <v>5000</v>
      </c>
      <c r="M4" s="11">
        <f>IF($D4="","",SUMIFS('AYLIK KESİNTİLER'!$E$2:$E$5000,'AYLIK KESİNTİLER'!$A$2:$A$5000,$A4,'AYLIK KESİNTİLER'!$B$2:$B$5000,$D4))</f>
        <v/>
      </c>
      <c r="N4" s="11">
        <f>IF($D4="","",$L4+$M4)</f>
        <v/>
      </c>
      <c r="O4" s="11">
        <f>IF($D4="","",$H4-$N4)</f>
        <v/>
      </c>
      <c r="P4" s="12">
        <f>IF($D4="","",IF($O4&lt;=0,"KAPANDI",IF(COUNTIFS($A$2:$A$200,$A4,$E$2:$E$200,"&lt;"&amp;$E4,$O$2:$O$200,"&gt;0")=0,"ÖDEMEDE","SIRADA")))</f>
        <v/>
      </c>
      <c r="Q4" s="8" t="n"/>
      <c r="R4" s="8" t="inlineStr">
        <is>
          <t>ÖRNEK: borç bitti, otomatik KAPANDI</t>
        </is>
      </c>
      <c r="S4">
        <f>IF($D4="","",$A4&amp;"|"&amp;$P4)</f>
        <v/>
      </c>
    </row>
    <row r="5">
      <c r="A5" s="8" t="inlineStr">
        <is>
          <t>AHMET BAŞOĞLU</t>
        </is>
      </c>
      <c r="B5" s="9" t="inlineStr">
        <is>
          <t>12856239602</t>
        </is>
      </c>
      <c r="C5" s="10" t="n">
        <v>46074</v>
      </c>
      <c r="D5" s="8" t="inlineStr">
        <is>
          <t>2025/55555</t>
        </is>
      </c>
      <c r="E5" s="8" t="n">
        <v>2</v>
      </c>
      <c r="F5" s="8" t="inlineStr">
        <is>
          <t>ANKARA 12. İCRA DAİRESİ</t>
        </is>
      </c>
      <c r="G5" s="8" t="inlineStr">
        <is>
          <t>Y BANKASI A.Ş.</t>
        </is>
      </c>
      <c r="H5" s="11" t="n">
        <v>24000</v>
      </c>
      <c r="I5" s="8" t="inlineStr">
        <is>
          <t>Oran</t>
        </is>
      </c>
      <c r="J5" s="8" t="inlineStr">
        <is>
          <t>1/4</t>
        </is>
      </c>
      <c r="K5" s="11" t="n"/>
      <c r="L5" s="11" t="n">
        <v>0</v>
      </c>
      <c r="M5" s="11">
        <f>IF($D5="","",SUMIFS('AYLIK KESİNTİLER'!$E$2:$E$5000,'AYLIK KESİNTİLER'!$A$2:$A$5000,$A5,'AYLIK KESİNTİLER'!$B$2:$B$5000,$D5))</f>
        <v/>
      </c>
      <c r="N5" s="11">
        <f>IF($D5="","",$L5+$M5)</f>
        <v/>
      </c>
      <c r="O5" s="11">
        <f>IF($D5="","",$H5-$N5)</f>
        <v/>
      </c>
      <c r="P5" s="12">
        <f>IF($D5="","",IF($O5&lt;=0,"KAPANDI",IF(COUNTIFS($A$2:$A$200,$A5,$E$2:$E$200,"&lt;"&amp;$E5,$O$2:$O$200,"&gt;0")=0,"ÖDEMEDE","SIRADA")))</f>
        <v/>
      </c>
      <c r="Q5" s="8" t="n"/>
      <c r="R5" s="8" t="inlineStr">
        <is>
          <t>ÖRNEK: 1. dosya kapanınca ÖDEMEDE'ye geçti</t>
        </is>
      </c>
      <c r="S5">
        <f>IF($D5="","",$A5&amp;"|"&amp;$P5)</f>
        <v/>
      </c>
    </row>
    <row r="6">
      <c r="A6" s="8" t="inlineStr">
        <is>
          <t>AHMET BAŞOĞLU</t>
        </is>
      </c>
      <c r="B6" s="9" t="inlineStr">
        <is>
          <t>12856239602</t>
        </is>
      </c>
      <c r="C6" s="10" t="n">
        <v>46082</v>
      </c>
      <c r="D6" s="8" t="inlineStr">
        <is>
          <t>2026/77777</t>
        </is>
      </c>
      <c r="E6" s="8" t="n">
        <v>3</v>
      </c>
      <c r="F6" s="8" t="inlineStr">
        <is>
          <t>ANKARA 3. İCRA DAİRESİ</t>
        </is>
      </c>
      <c r="G6" s="8" t="inlineStr">
        <is>
          <t>Z TELEKOM A.Ş.</t>
        </is>
      </c>
      <c r="H6" s="11" t="n">
        <v>8000</v>
      </c>
      <c r="I6" s="8" t="inlineStr">
        <is>
          <t>Oran</t>
        </is>
      </c>
      <c r="J6" s="8" t="inlineStr">
        <is>
          <t>1/4</t>
        </is>
      </c>
      <c r="K6" s="11" t="n"/>
      <c r="L6" s="11" t="n">
        <v>0</v>
      </c>
      <c r="M6" s="11">
        <f>IF($D6="","",SUMIFS('AYLIK KESİNTİLER'!$E$2:$E$5000,'AYLIK KESİNTİLER'!$A$2:$A$5000,$A6,'AYLIK KESİNTİLER'!$B$2:$B$5000,$D6))</f>
        <v/>
      </c>
      <c r="N6" s="11">
        <f>IF($D6="","",$L6+$M6)</f>
        <v/>
      </c>
      <c r="O6" s="11">
        <f>IF($D6="","",$H6-$N6)</f>
        <v/>
      </c>
      <c r="P6" s="12">
        <f>IF($D6="","",IF($O6&lt;=0,"KAPANDI",IF(COUNTIFS($A$2:$A$200,$A6,$E$2:$E$200,"&lt;"&amp;$E6,$O$2:$O$200,"&gt;0")=0,"ÖDEMEDE","SIRADA")))</f>
        <v/>
      </c>
      <c r="Q6" s="8" t="n"/>
      <c r="R6" s="8" t="inlineStr">
        <is>
          <t>ÖRNEK: sırada bekliyor</t>
        </is>
      </c>
      <c r="S6">
        <f>IF($D6="","",$A6&amp;"|"&amp;$P6)</f>
        <v/>
      </c>
    </row>
    <row r="7">
      <c r="A7" s="8" t="n"/>
      <c r="B7" s="9" t="n"/>
      <c r="C7" s="10" t="n"/>
      <c r="D7" s="8" t="n"/>
      <c r="E7" s="8" t="n"/>
      <c r="F7" s="8" t="n"/>
      <c r="G7" s="8" t="n"/>
      <c r="H7" s="11" t="n"/>
      <c r="I7" s="8" t="n"/>
      <c r="J7" s="8" t="n"/>
      <c r="K7" s="11" t="n"/>
      <c r="L7" s="11" t="n"/>
      <c r="M7" s="11">
        <f>IF($D7="","",SUMIFS('AYLIK KESİNTİLER'!$E$2:$E$5000,'AYLIK KESİNTİLER'!$A$2:$A$5000,$A7,'AYLIK KESİNTİLER'!$B$2:$B$5000,$D7))</f>
        <v/>
      </c>
      <c r="N7" s="11">
        <f>IF($D7="","",$L7+$M7)</f>
        <v/>
      </c>
      <c r="O7" s="11">
        <f>IF($D7="","",$H7-$N7)</f>
        <v/>
      </c>
      <c r="P7" s="12">
        <f>IF($D7="","",IF($O7&lt;=0,"KAPANDI",IF(COUNTIFS($A$2:$A$200,$A7,$E$2:$E$200,"&lt;"&amp;$E7,$O$2:$O$200,"&gt;0")=0,"ÖDEMEDE","SIRADA")))</f>
        <v/>
      </c>
      <c r="Q7" s="8" t="n"/>
      <c r="R7" s="8" t="n"/>
      <c r="S7">
        <f>IF($D7="","",$A7&amp;"|"&amp;$P7)</f>
        <v/>
      </c>
    </row>
    <row r="8">
      <c r="A8" s="8" t="n"/>
      <c r="B8" s="9" t="n"/>
      <c r="C8" s="10" t="n"/>
      <c r="D8" s="8" t="n"/>
      <c r="E8" s="8" t="n"/>
      <c r="F8" s="8" t="n"/>
      <c r="G8" s="8" t="n"/>
      <c r="H8" s="11" t="n"/>
      <c r="I8" s="8" t="n"/>
      <c r="J8" s="8" t="n"/>
      <c r="K8" s="11" t="n"/>
      <c r="L8" s="11" t="n"/>
      <c r="M8" s="11">
        <f>IF($D8="","",SUMIFS('AYLIK KESİNTİLER'!$E$2:$E$5000,'AYLIK KESİNTİLER'!$A$2:$A$5000,$A8,'AYLIK KESİNTİLER'!$B$2:$B$5000,$D8))</f>
        <v/>
      </c>
      <c r="N8" s="11">
        <f>IF($D8="","",$L8+$M8)</f>
        <v/>
      </c>
      <c r="O8" s="11">
        <f>IF($D8="","",$H8-$N8)</f>
        <v/>
      </c>
      <c r="P8" s="12">
        <f>IF($D8="","",IF($O8&lt;=0,"KAPANDI",IF(COUNTIFS($A$2:$A$200,$A8,$E$2:$E$200,"&lt;"&amp;$E8,$O$2:$O$200,"&gt;0")=0,"ÖDEMEDE","SIRADA")))</f>
        <v/>
      </c>
      <c r="Q8" s="8" t="n"/>
      <c r="R8" s="8" t="n"/>
      <c r="S8">
        <f>IF($D8="","",$A8&amp;"|"&amp;$P8)</f>
        <v/>
      </c>
    </row>
    <row r="9">
      <c r="A9" s="8" t="n"/>
      <c r="B9" s="9" t="n"/>
      <c r="C9" s="10" t="n"/>
      <c r="D9" s="8" t="n"/>
      <c r="E9" s="8" t="n"/>
      <c r="F9" s="8" t="n"/>
      <c r="G9" s="8" t="n"/>
      <c r="H9" s="11" t="n"/>
      <c r="I9" s="8" t="n"/>
      <c r="J9" s="8" t="n"/>
      <c r="K9" s="11" t="n"/>
      <c r="L9" s="11" t="n"/>
      <c r="M9" s="11">
        <f>IF($D9="","",SUMIFS('AYLIK KESİNTİLER'!$E$2:$E$5000,'AYLIK KESİNTİLER'!$A$2:$A$5000,$A9,'AYLIK KESİNTİLER'!$B$2:$B$5000,$D9))</f>
        <v/>
      </c>
      <c r="N9" s="11">
        <f>IF($D9="","",$L9+$M9)</f>
        <v/>
      </c>
      <c r="O9" s="11">
        <f>IF($D9="","",$H9-$N9)</f>
        <v/>
      </c>
      <c r="P9" s="12">
        <f>IF($D9="","",IF($O9&lt;=0,"KAPANDI",IF(COUNTIFS($A$2:$A$200,$A9,$E$2:$E$200,"&lt;"&amp;$E9,$O$2:$O$200,"&gt;0")=0,"ÖDEMEDE","SIRADA")))</f>
        <v/>
      </c>
      <c r="Q9" s="8" t="n"/>
      <c r="R9" s="8" t="n"/>
      <c r="S9">
        <f>IF($D9="","",$A9&amp;"|"&amp;$P9)</f>
        <v/>
      </c>
    </row>
    <row r="10">
      <c r="A10" s="8" t="n"/>
      <c r="B10" s="9" t="n"/>
      <c r="C10" s="10" t="n"/>
      <c r="D10" s="8" t="n"/>
      <c r="E10" s="8" t="n"/>
      <c r="F10" s="8" t="n"/>
      <c r="G10" s="8" t="n"/>
      <c r="H10" s="11" t="n"/>
      <c r="I10" s="8" t="n"/>
      <c r="J10" s="8" t="n"/>
      <c r="K10" s="11" t="n"/>
      <c r="L10" s="11" t="n"/>
      <c r="M10" s="11">
        <f>IF($D10="","",SUMIFS('AYLIK KESİNTİLER'!$E$2:$E$5000,'AYLIK KESİNTİLER'!$A$2:$A$5000,$A10,'AYLIK KESİNTİLER'!$B$2:$B$5000,$D10))</f>
        <v/>
      </c>
      <c r="N10" s="11">
        <f>IF($D10="","",$L10+$M10)</f>
        <v/>
      </c>
      <c r="O10" s="11">
        <f>IF($D10="","",$H10-$N10)</f>
        <v/>
      </c>
      <c r="P10" s="12">
        <f>IF($D10="","",IF($O10&lt;=0,"KAPANDI",IF(COUNTIFS($A$2:$A$200,$A10,$E$2:$E$200,"&lt;"&amp;$E10,$O$2:$O$200,"&gt;0")=0,"ÖDEMEDE","SIRADA")))</f>
        <v/>
      </c>
      <c r="Q10" s="8" t="n"/>
      <c r="R10" s="8" t="n"/>
      <c r="S10">
        <f>IF($D10="","",$A10&amp;"|"&amp;$P10)</f>
        <v/>
      </c>
    </row>
    <row r="11">
      <c r="A11" s="8" t="n"/>
      <c r="B11" s="9" t="n"/>
      <c r="C11" s="10" t="n"/>
      <c r="D11" s="8" t="n"/>
      <c r="E11" s="8" t="n"/>
      <c r="F11" s="8" t="n"/>
      <c r="G11" s="8" t="n"/>
      <c r="H11" s="11" t="n"/>
      <c r="I11" s="8" t="n"/>
      <c r="J11" s="8" t="n"/>
      <c r="K11" s="11" t="n"/>
      <c r="L11" s="11" t="n"/>
      <c r="M11" s="11">
        <f>IF($D11="","",SUMIFS('AYLIK KESİNTİLER'!$E$2:$E$5000,'AYLIK KESİNTİLER'!$A$2:$A$5000,$A11,'AYLIK KESİNTİLER'!$B$2:$B$5000,$D11))</f>
        <v/>
      </c>
      <c r="N11" s="11">
        <f>IF($D11="","",$L11+$M11)</f>
        <v/>
      </c>
      <c r="O11" s="11">
        <f>IF($D11="","",$H11-$N11)</f>
        <v/>
      </c>
      <c r="P11" s="12">
        <f>IF($D11="","",IF($O11&lt;=0,"KAPANDI",IF(COUNTIFS($A$2:$A$200,$A11,$E$2:$E$200,"&lt;"&amp;$E11,$O$2:$O$200,"&gt;0")=0,"ÖDEMEDE","SIRADA")))</f>
        <v/>
      </c>
      <c r="Q11" s="8" t="n"/>
      <c r="R11" s="8" t="n"/>
      <c r="S11">
        <f>IF($D11="","",$A11&amp;"|"&amp;$P11)</f>
        <v/>
      </c>
    </row>
    <row r="12">
      <c r="A12" s="8" t="n"/>
      <c r="B12" s="9" t="n"/>
      <c r="C12" s="10" t="n"/>
      <c r="D12" s="8" t="n"/>
      <c r="E12" s="8" t="n"/>
      <c r="F12" s="8" t="n"/>
      <c r="G12" s="8" t="n"/>
      <c r="H12" s="11" t="n"/>
      <c r="I12" s="8" t="n"/>
      <c r="J12" s="8" t="n"/>
      <c r="K12" s="11" t="n"/>
      <c r="L12" s="11" t="n"/>
      <c r="M12" s="11">
        <f>IF($D12="","",SUMIFS('AYLIK KESİNTİLER'!$E$2:$E$5000,'AYLIK KESİNTİLER'!$A$2:$A$5000,$A12,'AYLIK KESİNTİLER'!$B$2:$B$5000,$D12))</f>
        <v/>
      </c>
      <c r="N12" s="11">
        <f>IF($D12="","",$L12+$M12)</f>
        <v/>
      </c>
      <c r="O12" s="11">
        <f>IF($D12="","",$H12-$N12)</f>
        <v/>
      </c>
      <c r="P12" s="12">
        <f>IF($D12="","",IF($O12&lt;=0,"KAPANDI",IF(COUNTIFS($A$2:$A$200,$A12,$E$2:$E$200,"&lt;"&amp;$E12,$O$2:$O$200,"&gt;0")=0,"ÖDEMEDE","SIRADA")))</f>
        <v/>
      </c>
      <c r="Q12" s="8" t="n"/>
      <c r="R12" s="8" t="n"/>
      <c r="S12">
        <f>IF($D12="","",$A12&amp;"|"&amp;$P12)</f>
        <v/>
      </c>
    </row>
    <row r="13">
      <c r="A13" s="8" t="n"/>
      <c r="B13" s="9" t="n"/>
      <c r="C13" s="10" t="n"/>
      <c r="D13" s="8" t="n"/>
      <c r="E13" s="8" t="n"/>
      <c r="F13" s="8" t="n"/>
      <c r="G13" s="8" t="n"/>
      <c r="H13" s="11" t="n"/>
      <c r="I13" s="8" t="n"/>
      <c r="J13" s="8" t="n"/>
      <c r="K13" s="11" t="n"/>
      <c r="L13" s="11" t="n"/>
      <c r="M13" s="11">
        <f>IF($D13="","",SUMIFS('AYLIK KESİNTİLER'!$E$2:$E$5000,'AYLIK KESİNTİLER'!$A$2:$A$5000,$A13,'AYLIK KESİNTİLER'!$B$2:$B$5000,$D13))</f>
        <v/>
      </c>
      <c r="N13" s="11">
        <f>IF($D13="","",$L13+$M13)</f>
        <v/>
      </c>
      <c r="O13" s="11">
        <f>IF($D13="","",$H13-$N13)</f>
        <v/>
      </c>
      <c r="P13" s="12">
        <f>IF($D13="","",IF($O13&lt;=0,"KAPANDI",IF(COUNTIFS($A$2:$A$200,$A13,$E$2:$E$200,"&lt;"&amp;$E13,$O$2:$O$200,"&gt;0")=0,"ÖDEMEDE","SIRADA")))</f>
        <v/>
      </c>
      <c r="Q13" s="8" t="n"/>
      <c r="R13" s="8" t="n"/>
      <c r="S13">
        <f>IF($D13="","",$A13&amp;"|"&amp;$P13)</f>
        <v/>
      </c>
    </row>
    <row r="14">
      <c r="A14" s="8" t="n"/>
      <c r="B14" s="9" t="n"/>
      <c r="C14" s="10" t="n"/>
      <c r="D14" s="8" t="n"/>
      <c r="E14" s="8" t="n"/>
      <c r="F14" s="8" t="n"/>
      <c r="G14" s="8" t="n"/>
      <c r="H14" s="11" t="n"/>
      <c r="I14" s="8" t="n"/>
      <c r="J14" s="8" t="n"/>
      <c r="K14" s="11" t="n"/>
      <c r="L14" s="11" t="n"/>
      <c r="M14" s="11">
        <f>IF($D14="","",SUMIFS('AYLIK KESİNTİLER'!$E$2:$E$5000,'AYLIK KESİNTİLER'!$A$2:$A$5000,$A14,'AYLIK KESİNTİLER'!$B$2:$B$5000,$D14))</f>
        <v/>
      </c>
      <c r="N14" s="11">
        <f>IF($D14="","",$L14+$M14)</f>
        <v/>
      </c>
      <c r="O14" s="11">
        <f>IF($D14="","",$H14-$N14)</f>
        <v/>
      </c>
      <c r="P14" s="12">
        <f>IF($D14="","",IF($O14&lt;=0,"KAPANDI",IF(COUNTIFS($A$2:$A$200,$A14,$E$2:$E$200,"&lt;"&amp;$E14,$O$2:$O$200,"&gt;0")=0,"ÖDEMEDE","SIRADA")))</f>
        <v/>
      </c>
      <c r="Q14" s="8" t="n"/>
      <c r="R14" s="8" t="n"/>
      <c r="S14">
        <f>IF($D14="","",$A14&amp;"|"&amp;$P14)</f>
        <v/>
      </c>
    </row>
    <row r="15">
      <c r="A15" s="8" t="n"/>
      <c r="B15" s="9" t="n"/>
      <c r="C15" s="10" t="n"/>
      <c r="D15" s="8" t="n"/>
      <c r="E15" s="8" t="n"/>
      <c r="F15" s="8" t="n"/>
      <c r="G15" s="8" t="n"/>
      <c r="H15" s="11" t="n"/>
      <c r="I15" s="8" t="n"/>
      <c r="J15" s="8" t="n"/>
      <c r="K15" s="11" t="n"/>
      <c r="L15" s="11" t="n"/>
      <c r="M15" s="11">
        <f>IF($D15="","",SUMIFS('AYLIK KESİNTİLER'!$E$2:$E$5000,'AYLIK KESİNTİLER'!$A$2:$A$5000,$A15,'AYLIK KESİNTİLER'!$B$2:$B$5000,$D15))</f>
        <v/>
      </c>
      <c r="N15" s="11">
        <f>IF($D15="","",$L15+$M15)</f>
        <v/>
      </c>
      <c r="O15" s="11">
        <f>IF($D15="","",$H15-$N15)</f>
        <v/>
      </c>
      <c r="P15" s="12">
        <f>IF($D15="","",IF($O15&lt;=0,"KAPANDI",IF(COUNTIFS($A$2:$A$200,$A15,$E$2:$E$200,"&lt;"&amp;$E15,$O$2:$O$200,"&gt;0")=0,"ÖDEMEDE","SIRADA")))</f>
        <v/>
      </c>
      <c r="Q15" s="8" t="n"/>
      <c r="R15" s="8" t="n"/>
      <c r="S15">
        <f>IF($D15="","",$A15&amp;"|"&amp;$P15)</f>
        <v/>
      </c>
    </row>
    <row r="16">
      <c r="A16" s="8" t="n"/>
      <c r="B16" s="9" t="n"/>
      <c r="C16" s="10" t="n"/>
      <c r="D16" s="8" t="n"/>
      <c r="E16" s="8" t="n"/>
      <c r="F16" s="8" t="n"/>
      <c r="G16" s="8" t="n"/>
      <c r="H16" s="11" t="n"/>
      <c r="I16" s="8" t="n"/>
      <c r="J16" s="8" t="n"/>
      <c r="K16" s="11" t="n"/>
      <c r="L16" s="11" t="n"/>
      <c r="M16" s="11">
        <f>IF($D16="","",SUMIFS('AYLIK KESİNTİLER'!$E$2:$E$5000,'AYLIK KESİNTİLER'!$A$2:$A$5000,$A16,'AYLIK KESİNTİLER'!$B$2:$B$5000,$D16))</f>
        <v/>
      </c>
      <c r="N16" s="11">
        <f>IF($D16="","",$L16+$M16)</f>
        <v/>
      </c>
      <c r="O16" s="11">
        <f>IF($D16="","",$H16-$N16)</f>
        <v/>
      </c>
      <c r="P16" s="12">
        <f>IF($D16="","",IF($O16&lt;=0,"KAPANDI",IF(COUNTIFS($A$2:$A$200,$A16,$E$2:$E$200,"&lt;"&amp;$E16,$O$2:$O$200,"&gt;0")=0,"ÖDEMEDE","SIRADA")))</f>
        <v/>
      </c>
      <c r="Q16" s="8" t="n"/>
      <c r="R16" s="8" t="n"/>
      <c r="S16">
        <f>IF($D16="","",$A16&amp;"|"&amp;$P16)</f>
        <v/>
      </c>
    </row>
    <row r="17">
      <c r="A17" s="8" t="n"/>
      <c r="B17" s="9" t="n"/>
      <c r="C17" s="10" t="n"/>
      <c r="D17" s="8" t="n"/>
      <c r="E17" s="8" t="n"/>
      <c r="F17" s="8" t="n"/>
      <c r="G17" s="8" t="n"/>
      <c r="H17" s="11" t="n"/>
      <c r="I17" s="8" t="n"/>
      <c r="J17" s="8" t="n"/>
      <c r="K17" s="11" t="n"/>
      <c r="L17" s="11" t="n"/>
      <c r="M17" s="11">
        <f>IF($D17="","",SUMIFS('AYLIK KESİNTİLER'!$E$2:$E$5000,'AYLIK KESİNTİLER'!$A$2:$A$5000,$A17,'AYLIK KESİNTİLER'!$B$2:$B$5000,$D17))</f>
        <v/>
      </c>
      <c r="N17" s="11">
        <f>IF($D17="","",$L17+$M17)</f>
        <v/>
      </c>
      <c r="O17" s="11">
        <f>IF($D17="","",$H17-$N17)</f>
        <v/>
      </c>
      <c r="P17" s="12">
        <f>IF($D17="","",IF($O17&lt;=0,"KAPANDI",IF(COUNTIFS($A$2:$A$200,$A17,$E$2:$E$200,"&lt;"&amp;$E17,$O$2:$O$200,"&gt;0")=0,"ÖDEMEDE","SIRADA")))</f>
        <v/>
      </c>
      <c r="Q17" s="8" t="n"/>
      <c r="R17" s="8" t="n"/>
      <c r="S17">
        <f>IF($D17="","",$A17&amp;"|"&amp;$P17)</f>
        <v/>
      </c>
    </row>
    <row r="18">
      <c r="A18" s="8" t="n"/>
      <c r="B18" s="9" t="n"/>
      <c r="C18" s="10" t="n"/>
      <c r="D18" s="8" t="n"/>
      <c r="E18" s="8" t="n"/>
      <c r="F18" s="8" t="n"/>
      <c r="G18" s="8" t="n"/>
      <c r="H18" s="11" t="n"/>
      <c r="I18" s="8" t="n"/>
      <c r="J18" s="8" t="n"/>
      <c r="K18" s="11" t="n"/>
      <c r="L18" s="11" t="n"/>
      <c r="M18" s="11">
        <f>IF($D18="","",SUMIFS('AYLIK KESİNTİLER'!$E$2:$E$5000,'AYLIK KESİNTİLER'!$A$2:$A$5000,$A18,'AYLIK KESİNTİLER'!$B$2:$B$5000,$D18))</f>
        <v/>
      </c>
      <c r="N18" s="11">
        <f>IF($D18="","",$L18+$M18)</f>
        <v/>
      </c>
      <c r="O18" s="11">
        <f>IF($D18="","",$H18-$N18)</f>
        <v/>
      </c>
      <c r="P18" s="12">
        <f>IF($D18="","",IF($O18&lt;=0,"KAPANDI",IF(COUNTIFS($A$2:$A$200,$A18,$E$2:$E$200,"&lt;"&amp;$E18,$O$2:$O$200,"&gt;0")=0,"ÖDEMEDE","SIRADA")))</f>
        <v/>
      </c>
      <c r="Q18" s="8" t="n"/>
      <c r="R18" s="8" t="n"/>
      <c r="S18">
        <f>IF($D18="","",$A18&amp;"|"&amp;$P18)</f>
        <v/>
      </c>
    </row>
    <row r="19">
      <c r="A19" s="8" t="n"/>
      <c r="B19" s="9" t="n"/>
      <c r="C19" s="10" t="n"/>
      <c r="D19" s="8" t="n"/>
      <c r="E19" s="8" t="n"/>
      <c r="F19" s="8" t="n"/>
      <c r="G19" s="8" t="n"/>
      <c r="H19" s="11" t="n"/>
      <c r="I19" s="8" t="n"/>
      <c r="J19" s="8" t="n"/>
      <c r="K19" s="11" t="n"/>
      <c r="L19" s="11" t="n"/>
      <c r="M19" s="11">
        <f>IF($D19="","",SUMIFS('AYLIK KESİNTİLER'!$E$2:$E$5000,'AYLIK KESİNTİLER'!$A$2:$A$5000,$A19,'AYLIK KESİNTİLER'!$B$2:$B$5000,$D19))</f>
        <v/>
      </c>
      <c r="N19" s="11">
        <f>IF($D19="","",$L19+$M19)</f>
        <v/>
      </c>
      <c r="O19" s="11">
        <f>IF($D19="","",$H19-$N19)</f>
        <v/>
      </c>
      <c r="P19" s="12">
        <f>IF($D19="","",IF($O19&lt;=0,"KAPANDI",IF(COUNTIFS($A$2:$A$200,$A19,$E$2:$E$200,"&lt;"&amp;$E19,$O$2:$O$200,"&gt;0")=0,"ÖDEMEDE","SIRADA")))</f>
        <v/>
      </c>
      <c r="Q19" s="8" t="n"/>
      <c r="R19" s="8" t="n"/>
      <c r="S19">
        <f>IF($D19="","",$A19&amp;"|"&amp;$P19)</f>
        <v/>
      </c>
    </row>
    <row r="20">
      <c r="A20" s="8" t="n"/>
      <c r="B20" s="9" t="n"/>
      <c r="C20" s="10" t="n"/>
      <c r="D20" s="8" t="n"/>
      <c r="E20" s="8" t="n"/>
      <c r="F20" s="8" t="n"/>
      <c r="G20" s="8" t="n"/>
      <c r="H20" s="11" t="n"/>
      <c r="I20" s="8" t="n"/>
      <c r="J20" s="8" t="n"/>
      <c r="K20" s="11" t="n"/>
      <c r="L20" s="11" t="n"/>
      <c r="M20" s="11">
        <f>IF($D20="","",SUMIFS('AYLIK KESİNTİLER'!$E$2:$E$5000,'AYLIK KESİNTİLER'!$A$2:$A$5000,$A20,'AYLIK KESİNTİLER'!$B$2:$B$5000,$D20))</f>
        <v/>
      </c>
      <c r="N20" s="11">
        <f>IF($D20="","",$L20+$M20)</f>
        <v/>
      </c>
      <c r="O20" s="11">
        <f>IF($D20="","",$H20-$N20)</f>
        <v/>
      </c>
      <c r="P20" s="12">
        <f>IF($D20="","",IF($O20&lt;=0,"KAPANDI",IF(COUNTIFS($A$2:$A$200,$A20,$E$2:$E$200,"&lt;"&amp;$E20,$O$2:$O$200,"&gt;0")=0,"ÖDEMEDE","SIRADA")))</f>
        <v/>
      </c>
      <c r="Q20" s="8" t="n"/>
      <c r="R20" s="8" t="n"/>
      <c r="S20">
        <f>IF($D20="","",$A20&amp;"|"&amp;$P20)</f>
        <v/>
      </c>
    </row>
    <row r="21">
      <c r="A21" s="8" t="n"/>
      <c r="B21" s="9" t="n"/>
      <c r="C21" s="10" t="n"/>
      <c r="D21" s="8" t="n"/>
      <c r="E21" s="8" t="n"/>
      <c r="F21" s="8" t="n"/>
      <c r="G21" s="8" t="n"/>
      <c r="H21" s="11" t="n"/>
      <c r="I21" s="8" t="n"/>
      <c r="J21" s="8" t="n"/>
      <c r="K21" s="11" t="n"/>
      <c r="L21" s="11" t="n"/>
      <c r="M21" s="11">
        <f>IF($D21="","",SUMIFS('AYLIK KESİNTİLER'!$E$2:$E$5000,'AYLIK KESİNTİLER'!$A$2:$A$5000,$A21,'AYLIK KESİNTİLER'!$B$2:$B$5000,$D21))</f>
        <v/>
      </c>
      <c r="N21" s="11">
        <f>IF($D21="","",$L21+$M21)</f>
        <v/>
      </c>
      <c r="O21" s="11">
        <f>IF($D21="","",$H21-$N21)</f>
        <v/>
      </c>
      <c r="P21" s="12">
        <f>IF($D21="","",IF($O21&lt;=0,"KAPANDI",IF(COUNTIFS($A$2:$A$200,$A21,$E$2:$E$200,"&lt;"&amp;$E21,$O$2:$O$200,"&gt;0")=0,"ÖDEMEDE","SIRADA")))</f>
        <v/>
      </c>
      <c r="Q21" s="8" t="n"/>
      <c r="R21" s="8" t="n"/>
      <c r="S21">
        <f>IF($D21="","",$A21&amp;"|"&amp;$P21)</f>
        <v/>
      </c>
    </row>
    <row r="22">
      <c r="A22" s="8" t="n"/>
      <c r="B22" s="9" t="n"/>
      <c r="C22" s="10" t="n"/>
      <c r="D22" s="8" t="n"/>
      <c r="E22" s="8" t="n"/>
      <c r="F22" s="8" t="n"/>
      <c r="G22" s="8" t="n"/>
      <c r="H22" s="11" t="n"/>
      <c r="I22" s="8" t="n"/>
      <c r="J22" s="8" t="n"/>
      <c r="K22" s="11" t="n"/>
      <c r="L22" s="11" t="n"/>
      <c r="M22" s="11">
        <f>IF($D22="","",SUMIFS('AYLIK KESİNTİLER'!$E$2:$E$5000,'AYLIK KESİNTİLER'!$A$2:$A$5000,$A22,'AYLIK KESİNTİLER'!$B$2:$B$5000,$D22))</f>
        <v/>
      </c>
      <c r="N22" s="11">
        <f>IF($D22="","",$L22+$M22)</f>
        <v/>
      </c>
      <c r="O22" s="11">
        <f>IF($D22="","",$H22-$N22)</f>
        <v/>
      </c>
      <c r="P22" s="12">
        <f>IF($D22="","",IF($O22&lt;=0,"KAPANDI",IF(COUNTIFS($A$2:$A$200,$A22,$E$2:$E$200,"&lt;"&amp;$E22,$O$2:$O$200,"&gt;0")=0,"ÖDEMEDE","SIRADA")))</f>
        <v/>
      </c>
      <c r="Q22" s="8" t="n"/>
      <c r="R22" s="8" t="n"/>
      <c r="S22">
        <f>IF($D22="","",$A22&amp;"|"&amp;$P22)</f>
        <v/>
      </c>
    </row>
    <row r="23">
      <c r="A23" s="8" t="n"/>
      <c r="B23" s="9" t="n"/>
      <c r="C23" s="10" t="n"/>
      <c r="D23" s="8" t="n"/>
      <c r="E23" s="8" t="n"/>
      <c r="F23" s="8" t="n"/>
      <c r="G23" s="8" t="n"/>
      <c r="H23" s="11" t="n"/>
      <c r="I23" s="8" t="n"/>
      <c r="J23" s="8" t="n"/>
      <c r="K23" s="11" t="n"/>
      <c r="L23" s="11" t="n"/>
      <c r="M23" s="11">
        <f>IF($D23="","",SUMIFS('AYLIK KESİNTİLER'!$E$2:$E$5000,'AYLIK KESİNTİLER'!$A$2:$A$5000,$A23,'AYLIK KESİNTİLER'!$B$2:$B$5000,$D23))</f>
        <v/>
      </c>
      <c r="N23" s="11">
        <f>IF($D23="","",$L23+$M23)</f>
        <v/>
      </c>
      <c r="O23" s="11">
        <f>IF($D23="","",$H23-$N23)</f>
        <v/>
      </c>
      <c r="P23" s="12">
        <f>IF($D23="","",IF($O23&lt;=0,"KAPANDI",IF(COUNTIFS($A$2:$A$200,$A23,$E$2:$E$200,"&lt;"&amp;$E23,$O$2:$O$200,"&gt;0")=0,"ÖDEMEDE","SIRADA")))</f>
        <v/>
      </c>
      <c r="Q23" s="8" t="n"/>
      <c r="R23" s="8" t="n"/>
      <c r="S23">
        <f>IF($D23="","",$A23&amp;"|"&amp;$P23)</f>
        <v/>
      </c>
    </row>
    <row r="24">
      <c r="A24" s="8" t="n"/>
      <c r="B24" s="9" t="n"/>
      <c r="C24" s="10" t="n"/>
      <c r="D24" s="8" t="n"/>
      <c r="E24" s="8" t="n"/>
      <c r="F24" s="8" t="n"/>
      <c r="G24" s="8" t="n"/>
      <c r="H24" s="11" t="n"/>
      <c r="I24" s="8" t="n"/>
      <c r="J24" s="8" t="n"/>
      <c r="K24" s="11" t="n"/>
      <c r="L24" s="11" t="n"/>
      <c r="M24" s="11">
        <f>IF($D24="","",SUMIFS('AYLIK KESİNTİLER'!$E$2:$E$5000,'AYLIK KESİNTİLER'!$A$2:$A$5000,$A24,'AYLIK KESİNTİLER'!$B$2:$B$5000,$D24))</f>
        <v/>
      </c>
      <c r="N24" s="11">
        <f>IF($D24="","",$L24+$M24)</f>
        <v/>
      </c>
      <c r="O24" s="11">
        <f>IF($D24="","",$H24-$N24)</f>
        <v/>
      </c>
      <c r="P24" s="12">
        <f>IF($D24="","",IF($O24&lt;=0,"KAPANDI",IF(COUNTIFS($A$2:$A$200,$A24,$E$2:$E$200,"&lt;"&amp;$E24,$O$2:$O$200,"&gt;0")=0,"ÖDEMEDE","SIRADA")))</f>
        <v/>
      </c>
      <c r="Q24" s="8" t="n"/>
      <c r="R24" s="8" t="n"/>
      <c r="S24">
        <f>IF($D24="","",$A24&amp;"|"&amp;$P24)</f>
        <v/>
      </c>
    </row>
    <row r="25">
      <c r="A25" s="8" t="n"/>
      <c r="B25" s="9" t="n"/>
      <c r="C25" s="10" t="n"/>
      <c r="D25" s="8" t="n"/>
      <c r="E25" s="8" t="n"/>
      <c r="F25" s="8" t="n"/>
      <c r="G25" s="8" t="n"/>
      <c r="H25" s="11" t="n"/>
      <c r="I25" s="8" t="n"/>
      <c r="J25" s="8" t="n"/>
      <c r="K25" s="11" t="n"/>
      <c r="L25" s="11" t="n"/>
      <c r="M25" s="11">
        <f>IF($D25="","",SUMIFS('AYLIK KESİNTİLER'!$E$2:$E$5000,'AYLIK KESİNTİLER'!$A$2:$A$5000,$A25,'AYLIK KESİNTİLER'!$B$2:$B$5000,$D25))</f>
        <v/>
      </c>
      <c r="N25" s="11">
        <f>IF($D25="","",$L25+$M25)</f>
        <v/>
      </c>
      <c r="O25" s="11">
        <f>IF($D25="","",$H25-$N25)</f>
        <v/>
      </c>
      <c r="P25" s="12">
        <f>IF($D25="","",IF($O25&lt;=0,"KAPANDI",IF(COUNTIFS($A$2:$A$200,$A25,$E$2:$E$200,"&lt;"&amp;$E25,$O$2:$O$200,"&gt;0")=0,"ÖDEMEDE","SIRADA")))</f>
        <v/>
      </c>
      <c r="Q25" s="8" t="n"/>
      <c r="R25" s="8" t="n"/>
      <c r="S25">
        <f>IF($D25="","",$A25&amp;"|"&amp;$P25)</f>
        <v/>
      </c>
    </row>
    <row r="26">
      <c r="A26" s="8" t="n"/>
      <c r="B26" s="9" t="n"/>
      <c r="C26" s="10" t="n"/>
      <c r="D26" s="8" t="n"/>
      <c r="E26" s="8" t="n"/>
      <c r="F26" s="8" t="n"/>
      <c r="G26" s="8" t="n"/>
      <c r="H26" s="11" t="n"/>
      <c r="I26" s="8" t="n"/>
      <c r="J26" s="8" t="n"/>
      <c r="K26" s="11" t="n"/>
      <c r="L26" s="11" t="n"/>
      <c r="M26" s="11">
        <f>IF($D26="","",SUMIFS('AYLIK KESİNTİLER'!$E$2:$E$5000,'AYLIK KESİNTİLER'!$A$2:$A$5000,$A26,'AYLIK KESİNTİLER'!$B$2:$B$5000,$D26))</f>
        <v/>
      </c>
      <c r="N26" s="11">
        <f>IF($D26="","",$L26+$M26)</f>
        <v/>
      </c>
      <c r="O26" s="11">
        <f>IF($D26="","",$H26-$N26)</f>
        <v/>
      </c>
      <c r="P26" s="12">
        <f>IF($D26="","",IF($O26&lt;=0,"KAPANDI",IF(COUNTIFS($A$2:$A$200,$A26,$E$2:$E$200,"&lt;"&amp;$E26,$O$2:$O$200,"&gt;0")=0,"ÖDEMEDE","SIRADA")))</f>
        <v/>
      </c>
      <c r="Q26" s="8" t="n"/>
      <c r="R26" s="8" t="n"/>
      <c r="S26">
        <f>IF($D26="","",$A26&amp;"|"&amp;$P26)</f>
        <v/>
      </c>
    </row>
    <row r="27">
      <c r="A27" s="8" t="n"/>
      <c r="B27" s="9" t="n"/>
      <c r="C27" s="10" t="n"/>
      <c r="D27" s="8" t="n"/>
      <c r="E27" s="8" t="n"/>
      <c r="F27" s="8" t="n"/>
      <c r="G27" s="8" t="n"/>
      <c r="H27" s="11" t="n"/>
      <c r="I27" s="8" t="n"/>
      <c r="J27" s="8" t="n"/>
      <c r="K27" s="11" t="n"/>
      <c r="L27" s="11" t="n"/>
      <c r="M27" s="11">
        <f>IF($D27="","",SUMIFS('AYLIK KESİNTİLER'!$E$2:$E$5000,'AYLIK KESİNTİLER'!$A$2:$A$5000,$A27,'AYLIK KESİNTİLER'!$B$2:$B$5000,$D27))</f>
        <v/>
      </c>
      <c r="N27" s="11">
        <f>IF($D27="","",$L27+$M27)</f>
        <v/>
      </c>
      <c r="O27" s="11">
        <f>IF($D27="","",$H27-$N27)</f>
        <v/>
      </c>
      <c r="P27" s="12">
        <f>IF($D27="","",IF($O27&lt;=0,"KAPANDI",IF(COUNTIFS($A$2:$A$200,$A27,$E$2:$E$200,"&lt;"&amp;$E27,$O$2:$O$200,"&gt;0")=0,"ÖDEMEDE","SIRADA")))</f>
        <v/>
      </c>
      <c r="Q27" s="8" t="n"/>
      <c r="R27" s="8" t="n"/>
      <c r="S27">
        <f>IF($D27="","",$A27&amp;"|"&amp;$P27)</f>
        <v/>
      </c>
    </row>
    <row r="28">
      <c r="A28" s="8" t="n"/>
      <c r="B28" s="9" t="n"/>
      <c r="C28" s="10" t="n"/>
      <c r="D28" s="8" t="n"/>
      <c r="E28" s="8" t="n"/>
      <c r="F28" s="8" t="n"/>
      <c r="G28" s="8" t="n"/>
      <c r="H28" s="11" t="n"/>
      <c r="I28" s="8" t="n"/>
      <c r="J28" s="8" t="n"/>
      <c r="K28" s="11" t="n"/>
      <c r="L28" s="11" t="n"/>
      <c r="M28" s="11">
        <f>IF($D28="","",SUMIFS('AYLIK KESİNTİLER'!$E$2:$E$5000,'AYLIK KESİNTİLER'!$A$2:$A$5000,$A28,'AYLIK KESİNTİLER'!$B$2:$B$5000,$D28))</f>
        <v/>
      </c>
      <c r="N28" s="11">
        <f>IF($D28="","",$L28+$M28)</f>
        <v/>
      </c>
      <c r="O28" s="11">
        <f>IF($D28="","",$H28-$N28)</f>
        <v/>
      </c>
      <c r="P28" s="12">
        <f>IF($D28="","",IF($O28&lt;=0,"KAPANDI",IF(COUNTIFS($A$2:$A$200,$A28,$E$2:$E$200,"&lt;"&amp;$E28,$O$2:$O$200,"&gt;0")=0,"ÖDEMEDE","SIRADA")))</f>
        <v/>
      </c>
      <c r="Q28" s="8" t="n"/>
      <c r="R28" s="8" t="n"/>
      <c r="S28">
        <f>IF($D28="","",$A28&amp;"|"&amp;$P28)</f>
        <v/>
      </c>
    </row>
    <row r="29">
      <c r="A29" s="8" t="n"/>
      <c r="B29" s="9" t="n"/>
      <c r="C29" s="10" t="n"/>
      <c r="D29" s="8" t="n"/>
      <c r="E29" s="8" t="n"/>
      <c r="F29" s="8" t="n"/>
      <c r="G29" s="8" t="n"/>
      <c r="H29" s="11" t="n"/>
      <c r="I29" s="8" t="n"/>
      <c r="J29" s="8" t="n"/>
      <c r="K29" s="11" t="n"/>
      <c r="L29" s="11" t="n"/>
      <c r="M29" s="11">
        <f>IF($D29="","",SUMIFS('AYLIK KESİNTİLER'!$E$2:$E$5000,'AYLIK KESİNTİLER'!$A$2:$A$5000,$A29,'AYLIK KESİNTİLER'!$B$2:$B$5000,$D29))</f>
        <v/>
      </c>
      <c r="N29" s="11">
        <f>IF($D29="","",$L29+$M29)</f>
        <v/>
      </c>
      <c r="O29" s="11">
        <f>IF($D29="","",$H29-$N29)</f>
        <v/>
      </c>
      <c r="P29" s="12">
        <f>IF($D29="","",IF($O29&lt;=0,"KAPANDI",IF(COUNTIFS($A$2:$A$200,$A29,$E$2:$E$200,"&lt;"&amp;$E29,$O$2:$O$200,"&gt;0")=0,"ÖDEMEDE","SIRADA")))</f>
        <v/>
      </c>
      <c r="Q29" s="8" t="n"/>
      <c r="R29" s="8" t="n"/>
      <c r="S29">
        <f>IF($D29="","",$A29&amp;"|"&amp;$P29)</f>
        <v/>
      </c>
    </row>
    <row r="30">
      <c r="A30" s="8" t="n"/>
      <c r="B30" s="9" t="n"/>
      <c r="C30" s="10" t="n"/>
      <c r="D30" s="8" t="n"/>
      <c r="E30" s="8" t="n"/>
      <c r="F30" s="8" t="n"/>
      <c r="G30" s="8" t="n"/>
      <c r="H30" s="11" t="n"/>
      <c r="I30" s="8" t="n"/>
      <c r="J30" s="8" t="n"/>
      <c r="K30" s="11" t="n"/>
      <c r="L30" s="11" t="n"/>
      <c r="M30" s="11">
        <f>IF($D30="","",SUMIFS('AYLIK KESİNTİLER'!$E$2:$E$5000,'AYLIK KESİNTİLER'!$A$2:$A$5000,$A30,'AYLIK KESİNTİLER'!$B$2:$B$5000,$D30))</f>
        <v/>
      </c>
      <c r="N30" s="11">
        <f>IF($D30="","",$L30+$M30)</f>
        <v/>
      </c>
      <c r="O30" s="11">
        <f>IF($D30="","",$H30-$N30)</f>
        <v/>
      </c>
      <c r="P30" s="12">
        <f>IF($D30="","",IF($O30&lt;=0,"KAPANDI",IF(COUNTIFS($A$2:$A$200,$A30,$E$2:$E$200,"&lt;"&amp;$E30,$O$2:$O$200,"&gt;0")=0,"ÖDEMEDE","SIRADA")))</f>
        <v/>
      </c>
      <c r="Q30" s="8" t="n"/>
      <c r="R30" s="8" t="n"/>
      <c r="S30">
        <f>IF($D30="","",$A30&amp;"|"&amp;$P30)</f>
        <v/>
      </c>
    </row>
    <row r="31">
      <c r="A31" s="8" t="n"/>
      <c r="B31" s="9" t="n"/>
      <c r="C31" s="10" t="n"/>
      <c r="D31" s="8" t="n"/>
      <c r="E31" s="8" t="n"/>
      <c r="F31" s="8" t="n"/>
      <c r="G31" s="8" t="n"/>
      <c r="H31" s="11" t="n"/>
      <c r="I31" s="8" t="n"/>
      <c r="J31" s="8" t="n"/>
      <c r="K31" s="11" t="n"/>
      <c r="L31" s="11" t="n"/>
      <c r="M31" s="11">
        <f>IF($D31="","",SUMIFS('AYLIK KESİNTİLER'!$E$2:$E$5000,'AYLIK KESİNTİLER'!$A$2:$A$5000,$A31,'AYLIK KESİNTİLER'!$B$2:$B$5000,$D31))</f>
        <v/>
      </c>
      <c r="N31" s="11">
        <f>IF($D31="","",$L31+$M31)</f>
        <v/>
      </c>
      <c r="O31" s="11">
        <f>IF($D31="","",$H31-$N31)</f>
        <v/>
      </c>
      <c r="P31" s="12">
        <f>IF($D31="","",IF($O31&lt;=0,"KAPANDI",IF(COUNTIFS($A$2:$A$200,$A31,$E$2:$E$200,"&lt;"&amp;$E31,$O$2:$O$200,"&gt;0")=0,"ÖDEMEDE","SIRADA")))</f>
        <v/>
      </c>
      <c r="Q31" s="8" t="n"/>
      <c r="R31" s="8" t="n"/>
      <c r="S31">
        <f>IF($D31="","",$A31&amp;"|"&amp;$P31)</f>
        <v/>
      </c>
    </row>
    <row r="32">
      <c r="A32" s="8" t="n"/>
      <c r="B32" s="9" t="n"/>
      <c r="C32" s="10" t="n"/>
      <c r="D32" s="8" t="n"/>
      <c r="E32" s="8" t="n"/>
      <c r="F32" s="8" t="n"/>
      <c r="G32" s="8" t="n"/>
      <c r="H32" s="11" t="n"/>
      <c r="I32" s="8" t="n"/>
      <c r="J32" s="8" t="n"/>
      <c r="K32" s="11" t="n"/>
      <c r="L32" s="11" t="n"/>
      <c r="M32" s="11">
        <f>IF($D32="","",SUMIFS('AYLIK KESİNTİLER'!$E$2:$E$5000,'AYLIK KESİNTİLER'!$A$2:$A$5000,$A32,'AYLIK KESİNTİLER'!$B$2:$B$5000,$D32))</f>
        <v/>
      </c>
      <c r="N32" s="11">
        <f>IF($D32="","",$L32+$M32)</f>
        <v/>
      </c>
      <c r="O32" s="11">
        <f>IF($D32="","",$H32-$N32)</f>
        <v/>
      </c>
      <c r="P32" s="12">
        <f>IF($D32="","",IF($O32&lt;=0,"KAPANDI",IF(COUNTIFS($A$2:$A$200,$A32,$E$2:$E$200,"&lt;"&amp;$E32,$O$2:$O$200,"&gt;0")=0,"ÖDEMEDE","SIRADA")))</f>
        <v/>
      </c>
      <c r="Q32" s="8" t="n"/>
      <c r="R32" s="8" t="n"/>
      <c r="S32">
        <f>IF($D32="","",$A32&amp;"|"&amp;$P32)</f>
        <v/>
      </c>
    </row>
    <row r="33">
      <c r="A33" s="8" t="n"/>
      <c r="B33" s="9" t="n"/>
      <c r="C33" s="10" t="n"/>
      <c r="D33" s="8" t="n"/>
      <c r="E33" s="8" t="n"/>
      <c r="F33" s="8" t="n"/>
      <c r="G33" s="8" t="n"/>
      <c r="H33" s="11" t="n"/>
      <c r="I33" s="8" t="n"/>
      <c r="J33" s="8" t="n"/>
      <c r="K33" s="11" t="n"/>
      <c r="L33" s="11" t="n"/>
      <c r="M33" s="11">
        <f>IF($D33="","",SUMIFS('AYLIK KESİNTİLER'!$E$2:$E$5000,'AYLIK KESİNTİLER'!$A$2:$A$5000,$A33,'AYLIK KESİNTİLER'!$B$2:$B$5000,$D33))</f>
        <v/>
      </c>
      <c r="N33" s="11">
        <f>IF($D33="","",$L33+$M33)</f>
        <v/>
      </c>
      <c r="O33" s="11">
        <f>IF($D33="","",$H33-$N33)</f>
        <v/>
      </c>
      <c r="P33" s="12">
        <f>IF($D33="","",IF($O33&lt;=0,"KAPANDI",IF(COUNTIFS($A$2:$A$200,$A33,$E$2:$E$200,"&lt;"&amp;$E33,$O$2:$O$200,"&gt;0")=0,"ÖDEMEDE","SIRADA")))</f>
        <v/>
      </c>
      <c r="Q33" s="8" t="n"/>
      <c r="R33" s="8" t="n"/>
      <c r="S33">
        <f>IF($D33="","",$A33&amp;"|"&amp;$P33)</f>
        <v/>
      </c>
    </row>
    <row r="34">
      <c r="A34" s="8" t="n"/>
      <c r="B34" s="9" t="n"/>
      <c r="C34" s="10" t="n"/>
      <c r="D34" s="8" t="n"/>
      <c r="E34" s="8" t="n"/>
      <c r="F34" s="8" t="n"/>
      <c r="G34" s="8" t="n"/>
      <c r="H34" s="11" t="n"/>
      <c r="I34" s="8" t="n"/>
      <c r="J34" s="8" t="n"/>
      <c r="K34" s="11" t="n"/>
      <c r="L34" s="11" t="n"/>
      <c r="M34" s="11">
        <f>IF($D34="","",SUMIFS('AYLIK KESİNTİLER'!$E$2:$E$5000,'AYLIK KESİNTİLER'!$A$2:$A$5000,$A34,'AYLIK KESİNTİLER'!$B$2:$B$5000,$D34))</f>
        <v/>
      </c>
      <c r="N34" s="11">
        <f>IF($D34="","",$L34+$M34)</f>
        <v/>
      </c>
      <c r="O34" s="11">
        <f>IF($D34="","",$H34-$N34)</f>
        <v/>
      </c>
      <c r="P34" s="12">
        <f>IF($D34="","",IF($O34&lt;=0,"KAPANDI",IF(COUNTIFS($A$2:$A$200,$A34,$E$2:$E$200,"&lt;"&amp;$E34,$O$2:$O$200,"&gt;0")=0,"ÖDEMEDE","SIRADA")))</f>
        <v/>
      </c>
      <c r="Q34" s="8" t="n"/>
      <c r="R34" s="8" t="n"/>
      <c r="S34">
        <f>IF($D34="","",$A34&amp;"|"&amp;$P34)</f>
        <v/>
      </c>
    </row>
    <row r="35">
      <c r="A35" s="8" t="n"/>
      <c r="B35" s="9" t="n"/>
      <c r="C35" s="10" t="n"/>
      <c r="D35" s="8" t="n"/>
      <c r="E35" s="8" t="n"/>
      <c r="F35" s="8" t="n"/>
      <c r="G35" s="8" t="n"/>
      <c r="H35" s="11" t="n"/>
      <c r="I35" s="8" t="n"/>
      <c r="J35" s="8" t="n"/>
      <c r="K35" s="11" t="n"/>
      <c r="L35" s="11" t="n"/>
      <c r="M35" s="11">
        <f>IF($D35="","",SUMIFS('AYLIK KESİNTİLER'!$E$2:$E$5000,'AYLIK KESİNTİLER'!$A$2:$A$5000,$A35,'AYLIK KESİNTİLER'!$B$2:$B$5000,$D35))</f>
        <v/>
      </c>
      <c r="N35" s="11">
        <f>IF($D35="","",$L35+$M35)</f>
        <v/>
      </c>
      <c r="O35" s="11">
        <f>IF($D35="","",$H35-$N35)</f>
        <v/>
      </c>
      <c r="P35" s="12">
        <f>IF($D35="","",IF($O35&lt;=0,"KAPANDI",IF(COUNTIFS($A$2:$A$200,$A35,$E$2:$E$200,"&lt;"&amp;$E35,$O$2:$O$200,"&gt;0")=0,"ÖDEMEDE","SIRADA")))</f>
        <v/>
      </c>
      <c r="Q35" s="8" t="n"/>
      <c r="R35" s="8" t="n"/>
      <c r="S35">
        <f>IF($D35="","",$A35&amp;"|"&amp;$P35)</f>
        <v/>
      </c>
    </row>
    <row r="36">
      <c r="A36" s="8" t="n"/>
      <c r="B36" s="9" t="n"/>
      <c r="C36" s="10" t="n"/>
      <c r="D36" s="8" t="n"/>
      <c r="E36" s="8" t="n"/>
      <c r="F36" s="8" t="n"/>
      <c r="G36" s="8" t="n"/>
      <c r="H36" s="11" t="n"/>
      <c r="I36" s="8" t="n"/>
      <c r="J36" s="8" t="n"/>
      <c r="K36" s="11" t="n"/>
      <c r="L36" s="11" t="n"/>
      <c r="M36" s="11">
        <f>IF($D36="","",SUMIFS('AYLIK KESİNTİLER'!$E$2:$E$5000,'AYLIK KESİNTİLER'!$A$2:$A$5000,$A36,'AYLIK KESİNTİLER'!$B$2:$B$5000,$D36))</f>
        <v/>
      </c>
      <c r="N36" s="11">
        <f>IF($D36="","",$L36+$M36)</f>
        <v/>
      </c>
      <c r="O36" s="11">
        <f>IF($D36="","",$H36-$N36)</f>
        <v/>
      </c>
      <c r="P36" s="12">
        <f>IF($D36="","",IF($O36&lt;=0,"KAPANDI",IF(COUNTIFS($A$2:$A$200,$A36,$E$2:$E$200,"&lt;"&amp;$E36,$O$2:$O$200,"&gt;0")=0,"ÖDEMEDE","SIRADA")))</f>
        <v/>
      </c>
      <c r="Q36" s="8" t="n"/>
      <c r="R36" s="8" t="n"/>
      <c r="S36">
        <f>IF($D36="","",$A36&amp;"|"&amp;$P36)</f>
        <v/>
      </c>
    </row>
    <row r="37">
      <c r="A37" s="8" t="n"/>
      <c r="B37" s="9" t="n"/>
      <c r="C37" s="10" t="n"/>
      <c r="D37" s="8" t="n"/>
      <c r="E37" s="8" t="n"/>
      <c r="F37" s="8" t="n"/>
      <c r="G37" s="8" t="n"/>
      <c r="H37" s="11" t="n"/>
      <c r="I37" s="8" t="n"/>
      <c r="J37" s="8" t="n"/>
      <c r="K37" s="11" t="n"/>
      <c r="L37" s="11" t="n"/>
      <c r="M37" s="11">
        <f>IF($D37="","",SUMIFS('AYLIK KESİNTİLER'!$E$2:$E$5000,'AYLIK KESİNTİLER'!$A$2:$A$5000,$A37,'AYLIK KESİNTİLER'!$B$2:$B$5000,$D37))</f>
        <v/>
      </c>
      <c r="N37" s="11">
        <f>IF($D37="","",$L37+$M37)</f>
        <v/>
      </c>
      <c r="O37" s="11">
        <f>IF($D37="","",$H37-$N37)</f>
        <v/>
      </c>
      <c r="P37" s="12">
        <f>IF($D37="","",IF($O37&lt;=0,"KAPANDI",IF(COUNTIFS($A$2:$A$200,$A37,$E$2:$E$200,"&lt;"&amp;$E37,$O$2:$O$200,"&gt;0")=0,"ÖDEMEDE","SIRADA")))</f>
        <v/>
      </c>
      <c r="Q37" s="8" t="n"/>
      <c r="R37" s="8" t="n"/>
      <c r="S37">
        <f>IF($D37="","",$A37&amp;"|"&amp;$P37)</f>
        <v/>
      </c>
    </row>
    <row r="38">
      <c r="A38" s="8" t="n"/>
      <c r="B38" s="9" t="n"/>
      <c r="C38" s="10" t="n"/>
      <c r="D38" s="8" t="n"/>
      <c r="E38" s="8" t="n"/>
      <c r="F38" s="8" t="n"/>
      <c r="G38" s="8" t="n"/>
      <c r="H38" s="11" t="n"/>
      <c r="I38" s="8" t="n"/>
      <c r="J38" s="8" t="n"/>
      <c r="K38" s="11" t="n"/>
      <c r="L38" s="11" t="n"/>
      <c r="M38" s="11">
        <f>IF($D38="","",SUMIFS('AYLIK KESİNTİLER'!$E$2:$E$5000,'AYLIK KESİNTİLER'!$A$2:$A$5000,$A38,'AYLIK KESİNTİLER'!$B$2:$B$5000,$D38))</f>
        <v/>
      </c>
      <c r="N38" s="11">
        <f>IF($D38="","",$L38+$M38)</f>
        <v/>
      </c>
      <c r="O38" s="11">
        <f>IF($D38="","",$H38-$N38)</f>
        <v/>
      </c>
      <c r="P38" s="12">
        <f>IF($D38="","",IF($O38&lt;=0,"KAPANDI",IF(COUNTIFS($A$2:$A$200,$A38,$E$2:$E$200,"&lt;"&amp;$E38,$O$2:$O$200,"&gt;0")=0,"ÖDEMEDE","SIRADA")))</f>
        <v/>
      </c>
      <c r="Q38" s="8" t="n"/>
      <c r="R38" s="8" t="n"/>
      <c r="S38">
        <f>IF($D38="","",$A38&amp;"|"&amp;$P38)</f>
        <v/>
      </c>
    </row>
    <row r="39">
      <c r="A39" s="8" t="n"/>
      <c r="B39" s="9" t="n"/>
      <c r="C39" s="10" t="n"/>
      <c r="D39" s="8" t="n"/>
      <c r="E39" s="8" t="n"/>
      <c r="F39" s="8" t="n"/>
      <c r="G39" s="8" t="n"/>
      <c r="H39" s="11" t="n"/>
      <c r="I39" s="8" t="n"/>
      <c r="J39" s="8" t="n"/>
      <c r="K39" s="11" t="n"/>
      <c r="L39" s="11" t="n"/>
      <c r="M39" s="11">
        <f>IF($D39="","",SUMIFS('AYLIK KESİNTİLER'!$E$2:$E$5000,'AYLIK KESİNTİLER'!$A$2:$A$5000,$A39,'AYLIK KESİNTİLER'!$B$2:$B$5000,$D39))</f>
        <v/>
      </c>
      <c r="N39" s="11">
        <f>IF($D39="","",$L39+$M39)</f>
        <v/>
      </c>
      <c r="O39" s="11">
        <f>IF($D39="","",$H39-$N39)</f>
        <v/>
      </c>
      <c r="P39" s="12">
        <f>IF($D39="","",IF($O39&lt;=0,"KAPANDI",IF(COUNTIFS($A$2:$A$200,$A39,$E$2:$E$200,"&lt;"&amp;$E39,$O$2:$O$200,"&gt;0")=0,"ÖDEMEDE","SIRADA")))</f>
        <v/>
      </c>
      <c r="Q39" s="8" t="n"/>
      <c r="R39" s="8" t="n"/>
      <c r="S39">
        <f>IF($D39="","",$A39&amp;"|"&amp;$P39)</f>
        <v/>
      </c>
    </row>
    <row r="40">
      <c r="A40" s="8" t="n"/>
      <c r="B40" s="9" t="n"/>
      <c r="C40" s="10" t="n"/>
      <c r="D40" s="8" t="n"/>
      <c r="E40" s="8" t="n"/>
      <c r="F40" s="8" t="n"/>
      <c r="G40" s="8" t="n"/>
      <c r="H40" s="11" t="n"/>
      <c r="I40" s="8" t="n"/>
      <c r="J40" s="8" t="n"/>
      <c r="K40" s="11" t="n"/>
      <c r="L40" s="11" t="n"/>
      <c r="M40" s="11">
        <f>IF($D40="","",SUMIFS('AYLIK KESİNTİLER'!$E$2:$E$5000,'AYLIK KESİNTİLER'!$A$2:$A$5000,$A40,'AYLIK KESİNTİLER'!$B$2:$B$5000,$D40))</f>
        <v/>
      </c>
      <c r="N40" s="11">
        <f>IF($D40="","",$L40+$M40)</f>
        <v/>
      </c>
      <c r="O40" s="11">
        <f>IF($D40="","",$H40-$N40)</f>
        <v/>
      </c>
      <c r="P40" s="12">
        <f>IF($D40="","",IF($O40&lt;=0,"KAPANDI",IF(COUNTIFS($A$2:$A$200,$A40,$E$2:$E$200,"&lt;"&amp;$E40,$O$2:$O$200,"&gt;0")=0,"ÖDEMEDE","SIRADA")))</f>
        <v/>
      </c>
      <c r="Q40" s="8" t="n"/>
      <c r="R40" s="8" t="n"/>
      <c r="S40">
        <f>IF($D40="","",$A40&amp;"|"&amp;$P40)</f>
        <v/>
      </c>
    </row>
    <row r="41">
      <c r="A41" s="8" t="n"/>
      <c r="B41" s="9" t="n"/>
      <c r="C41" s="10" t="n"/>
      <c r="D41" s="8" t="n"/>
      <c r="E41" s="8" t="n"/>
      <c r="F41" s="8" t="n"/>
      <c r="G41" s="8" t="n"/>
      <c r="H41" s="11" t="n"/>
      <c r="I41" s="8" t="n"/>
      <c r="J41" s="8" t="n"/>
      <c r="K41" s="11" t="n"/>
      <c r="L41" s="11" t="n"/>
      <c r="M41" s="11">
        <f>IF($D41="","",SUMIFS('AYLIK KESİNTİLER'!$E$2:$E$5000,'AYLIK KESİNTİLER'!$A$2:$A$5000,$A41,'AYLIK KESİNTİLER'!$B$2:$B$5000,$D41))</f>
        <v/>
      </c>
      <c r="N41" s="11">
        <f>IF($D41="","",$L41+$M41)</f>
        <v/>
      </c>
      <c r="O41" s="11">
        <f>IF($D41="","",$H41-$N41)</f>
        <v/>
      </c>
      <c r="P41" s="12">
        <f>IF($D41="","",IF($O41&lt;=0,"KAPANDI",IF(COUNTIFS($A$2:$A$200,$A41,$E$2:$E$200,"&lt;"&amp;$E41,$O$2:$O$200,"&gt;0")=0,"ÖDEMEDE","SIRADA")))</f>
        <v/>
      </c>
      <c r="Q41" s="8" t="n"/>
      <c r="R41" s="8" t="n"/>
      <c r="S41">
        <f>IF($D41="","",$A41&amp;"|"&amp;$P41)</f>
        <v/>
      </c>
    </row>
    <row r="42">
      <c r="A42" s="8" t="n"/>
      <c r="B42" s="9" t="n"/>
      <c r="C42" s="10" t="n"/>
      <c r="D42" s="8" t="n"/>
      <c r="E42" s="8" t="n"/>
      <c r="F42" s="8" t="n"/>
      <c r="G42" s="8" t="n"/>
      <c r="H42" s="11" t="n"/>
      <c r="I42" s="8" t="n"/>
      <c r="J42" s="8" t="n"/>
      <c r="K42" s="11" t="n"/>
      <c r="L42" s="11" t="n"/>
      <c r="M42" s="11">
        <f>IF($D42="","",SUMIFS('AYLIK KESİNTİLER'!$E$2:$E$5000,'AYLIK KESİNTİLER'!$A$2:$A$5000,$A42,'AYLIK KESİNTİLER'!$B$2:$B$5000,$D42))</f>
        <v/>
      </c>
      <c r="N42" s="11">
        <f>IF($D42="","",$L42+$M42)</f>
        <v/>
      </c>
      <c r="O42" s="11">
        <f>IF($D42="","",$H42-$N42)</f>
        <v/>
      </c>
      <c r="P42" s="12">
        <f>IF($D42="","",IF($O42&lt;=0,"KAPANDI",IF(COUNTIFS($A$2:$A$200,$A42,$E$2:$E$200,"&lt;"&amp;$E42,$O$2:$O$200,"&gt;0")=0,"ÖDEMEDE","SIRADA")))</f>
        <v/>
      </c>
      <c r="Q42" s="8" t="n"/>
      <c r="R42" s="8" t="n"/>
      <c r="S42">
        <f>IF($D42="","",$A42&amp;"|"&amp;$P42)</f>
        <v/>
      </c>
    </row>
    <row r="43">
      <c r="A43" s="8" t="n"/>
      <c r="B43" s="9" t="n"/>
      <c r="C43" s="10" t="n"/>
      <c r="D43" s="8" t="n"/>
      <c r="E43" s="8" t="n"/>
      <c r="F43" s="8" t="n"/>
      <c r="G43" s="8" t="n"/>
      <c r="H43" s="11" t="n"/>
      <c r="I43" s="8" t="n"/>
      <c r="J43" s="8" t="n"/>
      <c r="K43" s="11" t="n"/>
      <c r="L43" s="11" t="n"/>
      <c r="M43" s="11">
        <f>IF($D43="","",SUMIFS('AYLIK KESİNTİLER'!$E$2:$E$5000,'AYLIK KESİNTİLER'!$A$2:$A$5000,$A43,'AYLIK KESİNTİLER'!$B$2:$B$5000,$D43))</f>
        <v/>
      </c>
      <c r="N43" s="11">
        <f>IF($D43="","",$L43+$M43)</f>
        <v/>
      </c>
      <c r="O43" s="11">
        <f>IF($D43="","",$H43-$N43)</f>
        <v/>
      </c>
      <c r="P43" s="12">
        <f>IF($D43="","",IF($O43&lt;=0,"KAPANDI",IF(COUNTIFS($A$2:$A$200,$A43,$E$2:$E$200,"&lt;"&amp;$E43,$O$2:$O$200,"&gt;0")=0,"ÖDEMEDE","SIRADA")))</f>
        <v/>
      </c>
      <c r="Q43" s="8" t="n"/>
      <c r="R43" s="8" t="n"/>
      <c r="S43">
        <f>IF($D43="","",$A43&amp;"|"&amp;$P43)</f>
        <v/>
      </c>
    </row>
    <row r="44">
      <c r="A44" s="8" t="n"/>
      <c r="B44" s="9" t="n"/>
      <c r="C44" s="10" t="n"/>
      <c r="D44" s="8" t="n"/>
      <c r="E44" s="8" t="n"/>
      <c r="F44" s="8" t="n"/>
      <c r="G44" s="8" t="n"/>
      <c r="H44" s="11" t="n"/>
      <c r="I44" s="8" t="n"/>
      <c r="J44" s="8" t="n"/>
      <c r="K44" s="11" t="n"/>
      <c r="L44" s="11" t="n"/>
      <c r="M44" s="11">
        <f>IF($D44="","",SUMIFS('AYLIK KESİNTİLER'!$E$2:$E$5000,'AYLIK KESİNTİLER'!$A$2:$A$5000,$A44,'AYLIK KESİNTİLER'!$B$2:$B$5000,$D44))</f>
        <v/>
      </c>
      <c r="N44" s="11">
        <f>IF($D44="","",$L44+$M44)</f>
        <v/>
      </c>
      <c r="O44" s="11">
        <f>IF($D44="","",$H44-$N44)</f>
        <v/>
      </c>
      <c r="P44" s="12">
        <f>IF($D44="","",IF($O44&lt;=0,"KAPANDI",IF(COUNTIFS($A$2:$A$200,$A44,$E$2:$E$200,"&lt;"&amp;$E44,$O$2:$O$200,"&gt;0")=0,"ÖDEMEDE","SIRADA")))</f>
        <v/>
      </c>
      <c r="Q44" s="8" t="n"/>
      <c r="R44" s="8" t="n"/>
      <c r="S44">
        <f>IF($D44="","",$A44&amp;"|"&amp;$P44)</f>
        <v/>
      </c>
    </row>
    <row r="45">
      <c r="A45" s="8" t="n"/>
      <c r="B45" s="9" t="n"/>
      <c r="C45" s="10" t="n"/>
      <c r="D45" s="8" t="n"/>
      <c r="E45" s="8" t="n"/>
      <c r="F45" s="8" t="n"/>
      <c r="G45" s="8" t="n"/>
      <c r="H45" s="11" t="n"/>
      <c r="I45" s="8" t="n"/>
      <c r="J45" s="8" t="n"/>
      <c r="K45" s="11" t="n"/>
      <c r="L45" s="11" t="n"/>
      <c r="M45" s="11">
        <f>IF($D45="","",SUMIFS('AYLIK KESİNTİLER'!$E$2:$E$5000,'AYLIK KESİNTİLER'!$A$2:$A$5000,$A45,'AYLIK KESİNTİLER'!$B$2:$B$5000,$D45))</f>
        <v/>
      </c>
      <c r="N45" s="11">
        <f>IF($D45="","",$L45+$M45)</f>
        <v/>
      </c>
      <c r="O45" s="11">
        <f>IF($D45="","",$H45-$N45)</f>
        <v/>
      </c>
      <c r="P45" s="12">
        <f>IF($D45="","",IF($O45&lt;=0,"KAPANDI",IF(COUNTIFS($A$2:$A$200,$A45,$E$2:$E$200,"&lt;"&amp;$E45,$O$2:$O$200,"&gt;0")=0,"ÖDEMEDE","SIRADA")))</f>
        <v/>
      </c>
      <c r="Q45" s="8" t="n"/>
      <c r="R45" s="8" t="n"/>
      <c r="S45">
        <f>IF($D45="","",$A45&amp;"|"&amp;$P45)</f>
        <v/>
      </c>
    </row>
    <row r="46">
      <c r="A46" s="8" t="n"/>
      <c r="B46" s="9" t="n"/>
      <c r="C46" s="10" t="n"/>
      <c r="D46" s="8" t="n"/>
      <c r="E46" s="8" t="n"/>
      <c r="F46" s="8" t="n"/>
      <c r="G46" s="8" t="n"/>
      <c r="H46" s="11" t="n"/>
      <c r="I46" s="8" t="n"/>
      <c r="J46" s="8" t="n"/>
      <c r="K46" s="11" t="n"/>
      <c r="L46" s="11" t="n"/>
      <c r="M46" s="11">
        <f>IF($D46="","",SUMIFS('AYLIK KESİNTİLER'!$E$2:$E$5000,'AYLIK KESİNTİLER'!$A$2:$A$5000,$A46,'AYLIK KESİNTİLER'!$B$2:$B$5000,$D46))</f>
        <v/>
      </c>
      <c r="N46" s="11">
        <f>IF($D46="","",$L46+$M46)</f>
        <v/>
      </c>
      <c r="O46" s="11">
        <f>IF($D46="","",$H46-$N46)</f>
        <v/>
      </c>
      <c r="P46" s="12">
        <f>IF($D46="","",IF($O46&lt;=0,"KAPANDI",IF(COUNTIFS($A$2:$A$200,$A46,$E$2:$E$200,"&lt;"&amp;$E46,$O$2:$O$200,"&gt;0")=0,"ÖDEMEDE","SIRADA")))</f>
        <v/>
      </c>
      <c r="Q46" s="8" t="n"/>
      <c r="R46" s="8" t="n"/>
      <c r="S46">
        <f>IF($D46="","",$A46&amp;"|"&amp;$P46)</f>
        <v/>
      </c>
    </row>
    <row r="47">
      <c r="A47" s="8" t="n"/>
      <c r="B47" s="9" t="n"/>
      <c r="C47" s="10" t="n"/>
      <c r="D47" s="8" t="n"/>
      <c r="E47" s="8" t="n"/>
      <c r="F47" s="8" t="n"/>
      <c r="G47" s="8" t="n"/>
      <c r="H47" s="11" t="n"/>
      <c r="I47" s="8" t="n"/>
      <c r="J47" s="8" t="n"/>
      <c r="K47" s="11" t="n"/>
      <c r="L47" s="11" t="n"/>
      <c r="M47" s="11">
        <f>IF($D47="","",SUMIFS('AYLIK KESİNTİLER'!$E$2:$E$5000,'AYLIK KESİNTİLER'!$A$2:$A$5000,$A47,'AYLIK KESİNTİLER'!$B$2:$B$5000,$D47))</f>
        <v/>
      </c>
      <c r="N47" s="11">
        <f>IF($D47="","",$L47+$M47)</f>
        <v/>
      </c>
      <c r="O47" s="11">
        <f>IF($D47="","",$H47-$N47)</f>
        <v/>
      </c>
      <c r="P47" s="12">
        <f>IF($D47="","",IF($O47&lt;=0,"KAPANDI",IF(COUNTIFS($A$2:$A$200,$A47,$E$2:$E$200,"&lt;"&amp;$E47,$O$2:$O$200,"&gt;0")=0,"ÖDEMEDE","SIRADA")))</f>
        <v/>
      </c>
      <c r="Q47" s="8" t="n"/>
      <c r="R47" s="8" t="n"/>
      <c r="S47">
        <f>IF($D47="","",$A47&amp;"|"&amp;$P47)</f>
        <v/>
      </c>
    </row>
    <row r="48">
      <c r="A48" s="8" t="n"/>
      <c r="B48" s="9" t="n"/>
      <c r="C48" s="10" t="n"/>
      <c r="D48" s="8" t="n"/>
      <c r="E48" s="8" t="n"/>
      <c r="F48" s="8" t="n"/>
      <c r="G48" s="8" t="n"/>
      <c r="H48" s="11" t="n"/>
      <c r="I48" s="8" t="n"/>
      <c r="J48" s="8" t="n"/>
      <c r="K48" s="11" t="n"/>
      <c r="L48" s="11" t="n"/>
      <c r="M48" s="11">
        <f>IF($D48="","",SUMIFS('AYLIK KESİNTİLER'!$E$2:$E$5000,'AYLIK KESİNTİLER'!$A$2:$A$5000,$A48,'AYLIK KESİNTİLER'!$B$2:$B$5000,$D48))</f>
        <v/>
      </c>
      <c r="N48" s="11">
        <f>IF($D48="","",$L48+$M48)</f>
        <v/>
      </c>
      <c r="O48" s="11">
        <f>IF($D48="","",$H48-$N48)</f>
        <v/>
      </c>
      <c r="P48" s="12">
        <f>IF($D48="","",IF($O48&lt;=0,"KAPANDI",IF(COUNTIFS($A$2:$A$200,$A48,$E$2:$E$200,"&lt;"&amp;$E48,$O$2:$O$200,"&gt;0")=0,"ÖDEMEDE","SIRADA")))</f>
        <v/>
      </c>
      <c r="Q48" s="8" t="n"/>
      <c r="R48" s="8" t="n"/>
      <c r="S48">
        <f>IF($D48="","",$A48&amp;"|"&amp;$P48)</f>
        <v/>
      </c>
    </row>
    <row r="49">
      <c r="A49" s="8" t="n"/>
      <c r="B49" s="9" t="n"/>
      <c r="C49" s="10" t="n"/>
      <c r="D49" s="8" t="n"/>
      <c r="E49" s="8" t="n"/>
      <c r="F49" s="8" t="n"/>
      <c r="G49" s="8" t="n"/>
      <c r="H49" s="11" t="n"/>
      <c r="I49" s="8" t="n"/>
      <c r="J49" s="8" t="n"/>
      <c r="K49" s="11" t="n"/>
      <c r="L49" s="11" t="n"/>
      <c r="M49" s="11">
        <f>IF($D49="","",SUMIFS('AYLIK KESİNTİLER'!$E$2:$E$5000,'AYLIK KESİNTİLER'!$A$2:$A$5000,$A49,'AYLIK KESİNTİLER'!$B$2:$B$5000,$D49))</f>
        <v/>
      </c>
      <c r="N49" s="11">
        <f>IF($D49="","",$L49+$M49)</f>
        <v/>
      </c>
      <c r="O49" s="11">
        <f>IF($D49="","",$H49-$N49)</f>
        <v/>
      </c>
      <c r="P49" s="12">
        <f>IF($D49="","",IF($O49&lt;=0,"KAPANDI",IF(COUNTIFS($A$2:$A$200,$A49,$E$2:$E$200,"&lt;"&amp;$E49,$O$2:$O$200,"&gt;0")=0,"ÖDEMEDE","SIRADA")))</f>
        <v/>
      </c>
      <c r="Q49" s="8" t="n"/>
      <c r="R49" s="8" t="n"/>
      <c r="S49">
        <f>IF($D49="","",$A49&amp;"|"&amp;$P49)</f>
        <v/>
      </c>
    </row>
    <row r="50">
      <c r="A50" s="8" t="n"/>
      <c r="B50" s="9" t="n"/>
      <c r="C50" s="10" t="n"/>
      <c r="D50" s="8" t="n"/>
      <c r="E50" s="8" t="n"/>
      <c r="F50" s="8" t="n"/>
      <c r="G50" s="8" t="n"/>
      <c r="H50" s="11" t="n"/>
      <c r="I50" s="8" t="n"/>
      <c r="J50" s="8" t="n"/>
      <c r="K50" s="11" t="n"/>
      <c r="L50" s="11" t="n"/>
      <c r="M50" s="11">
        <f>IF($D50="","",SUMIFS('AYLIK KESİNTİLER'!$E$2:$E$5000,'AYLIK KESİNTİLER'!$A$2:$A$5000,$A50,'AYLIK KESİNTİLER'!$B$2:$B$5000,$D50))</f>
        <v/>
      </c>
      <c r="N50" s="11">
        <f>IF($D50="","",$L50+$M50)</f>
        <v/>
      </c>
      <c r="O50" s="11">
        <f>IF($D50="","",$H50-$N50)</f>
        <v/>
      </c>
      <c r="P50" s="12">
        <f>IF($D50="","",IF($O50&lt;=0,"KAPANDI",IF(COUNTIFS($A$2:$A$200,$A50,$E$2:$E$200,"&lt;"&amp;$E50,$O$2:$O$200,"&gt;0")=0,"ÖDEMEDE","SIRADA")))</f>
        <v/>
      </c>
      <c r="Q50" s="8" t="n"/>
      <c r="R50" s="8" t="n"/>
      <c r="S50">
        <f>IF($D50="","",$A50&amp;"|"&amp;$P50)</f>
        <v/>
      </c>
    </row>
    <row r="51">
      <c r="A51" s="8" t="n"/>
      <c r="B51" s="9" t="n"/>
      <c r="C51" s="10" t="n"/>
      <c r="D51" s="8" t="n"/>
      <c r="E51" s="8" t="n"/>
      <c r="F51" s="8" t="n"/>
      <c r="G51" s="8" t="n"/>
      <c r="H51" s="11" t="n"/>
      <c r="I51" s="8" t="n"/>
      <c r="J51" s="8" t="n"/>
      <c r="K51" s="11" t="n"/>
      <c r="L51" s="11" t="n"/>
      <c r="M51" s="11">
        <f>IF($D51="","",SUMIFS('AYLIK KESİNTİLER'!$E$2:$E$5000,'AYLIK KESİNTİLER'!$A$2:$A$5000,$A51,'AYLIK KESİNTİLER'!$B$2:$B$5000,$D51))</f>
        <v/>
      </c>
      <c r="N51" s="11">
        <f>IF($D51="","",$L51+$M51)</f>
        <v/>
      </c>
      <c r="O51" s="11">
        <f>IF($D51="","",$H51-$N51)</f>
        <v/>
      </c>
      <c r="P51" s="12">
        <f>IF($D51="","",IF($O51&lt;=0,"KAPANDI",IF(COUNTIFS($A$2:$A$200,$A51,$E$2:$E$200,"&lt;"&amp;$E51,$O$2:$O$200,"&gt;0")=0,"ÖDEMEDE","SIRADA")))</f>
        <v/>
      </c>
      <c r="Q51" s="8" t="n"/>
      <c r="R51" s="8" t="n"/>
      <c r="S51">
        <f>IF($D51="","",$A51&amp;"|"&amp;$P51)</f>
        <v/>
      </c>
    </row>
    <row r="52">
      <c r="A52" s="8" t="n"/>
      <c r="B52" s="9" t="n"/>
      <c r="C52" s="10" t="n"/>
      <c r="D52" s="8" t="n"/>
      <c r="E52" s="8" t="n"/>
      <c r="F52" s="8" t="n"/>
      <c r="G52" s="8" t="n"/>
      <c r="H52" s="11" t="n"/>
      <c r="I52" s="8" t="n"/>
      <c r="J52" s="8" t="n"/>
      <c r="K52" s="11" t="n"/>
      <c r="L52" s="11" t="n"/>
      <c r="M52" s="11">
        <f>IF($D52="","",SUMIFS('AYLIK KESİNTİLER'!$E$2:$E$5000,'AYLIK KESİNTİLER'!$A$2:$A$5000,$A52,'AYLIK KESİNTİLER'!$B$2:$B$5000,$D52))</f>
        <v/>
      </c>
      <c r="N52" s="11">
        <f>IF($D52="","",$L52+$M52)</f>
        <v/>
      </c>
      <c r="O52" s="11">
        <f>IF($D52="","",$H52-$N52)</f>
        <v/>
      </c>
      <c r="P52" s="12">
        <f>IF($D52="","",IF($O52&lt;=0,"KAPANDI",IF(COUNTIFS($A$2:$A$200,$A52,$E$2:$E$200,"&lt;"&amp;$E52,$O$2:$O$200,"&gt;0")=0,"ÖDEMEDE","SIRADA")))</f>
        <v/>
      </c>
      <c r="Q52" s="8" t="n"/>
      <c r="R52" s="8" t="n"/>
      <c r="S52">
        <f>IF($D52="","",$A52&amp;"|"&amp;$P52)</f>
        <v/>
      </c>
    </row>
    <row r="53">
      <c r="A53" s="8" t="n"/>
      <c r="B53" s="9" t="n"/>
      <c r="C53" s="10" t="n"/>
      <c r="D53" s="8" t="n"/>
      <c r="E53" s="8" t="n"/>
      <c r="F53" s="8" t="n"/>
      <c r="G53" s="8" t="n"/>
      <c r="H53" s="11" t="n"/>
      <c r="I53" s="8" t="n"/>
      <c r="J53" s="8" t="n"/>
      <c r="K53" s="11" t="n"/>
      <c r="L53" s="11" t="n"/>
      <c r="M53" s="11">
        <f>IF($D53="","",SUMIFS('AYLIK KESİNTİLER'!$E$2:$E$5000,'AYLIK KESİNTİLER'!$A$2:$A$5000,$A53,'AYLIK KESİNTİLER'!$B$2:$B$5000,$D53))</f>
        <v/>
      </c>
      <c r="N53" s="11">
        <f>IF($D53="","",$L53+$M53)</f>
        <v/>
      </c>
      <c r="O53" s="11">
        <f>IF($D53="","",$H53-$N53)</f>
        <v/>
      </c>
      <c r="P53" s="12">
        <f>IF($D53="","",IF($O53&lt;=0,"KAPANDI",IF(COUNTIFS($A$2:$A$200,$A53,$E$2:$E$200,"&lt;"&amp;$E53,$O$2:$O$200,"&gt;0")=0,"ÖDEMEDE","SIRADA")))</f>
        <v/>
      </c>
      <c r="Q53" s="8" t="n"/>
      <c r="R53" s="8" t="n"/>
      <c r="S53">
        <f>IF($D53="","",$A53&amp;"|"&amp;$P53)</f>
        <v/>
      </c>
    </row>
    <row r="54">
      <c r="A54" s="8" t="n"/>
      <c r="B54" s="9" t="n"/>
      <c r="C54" s="10" t="n"/>
      <c r="D54" s="8" t="n"/>
      <c r="E54" s="8" t="n"/>
      <c r="F54" s="8" t="n"/>
      <c r="G54" s="8" t="n"/>
      <c r="H54" s="11" t="n"/>
      <c r="I54" s="8" t="n"/>
      <c r="J54" s="8" t="n"/>
      <c r="K54" s="11" t="n"/>
      <c r="L54" s="11" t="n"/>
      <c r="M54" s="11">
        <f>IF($D54="","",SUMIFS('AYLIK KESİNTİLER'!$E$2:$E$5000,'AYLIK KESİNTİLER'!$A$2:$A$5000,$A54,'AYLIK KESİNTİLER'!$B$2:$B$5000,$D54))</f>
        <v/>
      </c>
      <c r="N54" s="11">
        <f>IF($D54="","",$L54+$M54)</f>
        <v/>
      </c>
      <c r="O54" s="11">
        <f>IF($D54="","",$H54-$N54)</f>
        <v/>
      </c>
      <c r="P54" s="12">
        <f>IF($D54="","",IF($O54&lt;=0,"KAPANDI",IF(COUNTIFS($A$2:$A$200,$A54,$E$2:$E$200,"&lt;"&amp;$E54,$O$2:$O$200,"&gt;0")=0,"ÖDEMEDE","SIRADA")))</f>
        <v/>
      </c>
      <c r="Q54" s="8" t="n"/>
      <c r="R54" s="8" t="n"/>
      <c r="S54">
        <f>IF($D54="","",$A54&amp;"|"&amp;$P54)</f>
        <v/>
      </c>
    </row>
    <row r="55">
      <c r="A55" s="8" t="n"/>
      <c r="B55" s="9" t="n"/>
      <c r="C55" s="10" t="n"/>
      <c r="D55" s="8" t="n"/>
      <c r="E55" s="8" t="n"/>
      <c r="F55" s="8" t="n"/>
      <c r="G55" s="8" t="n"/>
      <c r="H55" s="11" t="n"/>
      <c r="I55" s="8" t="n"/>
      <c r="J55" s="8" t="n"/>
      <c r="K55" s="11" t="n"/>
      <c r="L55" s="11" t="n"/>
      <c r="M55" s="11">
        <f>IF($D55="","",SUMIFS('AYLIK KESİNTİLER'!$E$2:$E$5000,'AYLIK KESİNTİLER'!$A$2:$A$5000,$A55,'AYLIK KESİNTİLER'!$B$2:$B$5000,$D55))</f>
        <v/>
      </c>
      <c r="N55" s="11">
        <f>IF($D55="","",$L55+$M55)</f>
        <v/>
      </c>
      <c r="O55" s="11">
        <f>IF($D55="","",$H55-$N55)</f>
        <v/>
      </c>
      <c r="P55" s="12">
        <f>IF($D55="","",IF($O55&lt;=0,"KAPANDI",IF(COUNTIFS($A$2:$A$200,$A55,$E$2:$E$200,"&lt;"&amp;$E55,$O$2:$O$200,"&gt;0")=0,"ÖDEMEDE","SIRADA")))</f>
        <v/>
      </c>
      <c r="Q55" s="8" t="n"/>
      <c r="R55" s="8" t="n"/>
      <c r="S55">
        <f>IF($D55="","",$A55&amp;"|"&amp;$P55)</f>
        <v/>
      </c>
    </row>
    <row r="56">
      <c r="A56" s="8" t="n"/>
      <c r="B56" s="9" t="n"/>
      <c r="C56" s="10" t="n"/>
      <c r="D56" s="8" t="n"/>
      <c r="E56" s="8" t="n"/>
      <c r="F56" s="8" t="n"/>
      <c r="G56" s="8" t="n"/>
      <c r="H56" s="11" t="n"/>
      <c r="I56" s="8" t="n"/>
      <c r="J56" s="8" t="n"/>
      <c r="K56" s="11" t="n"/>
      <c r="L56" s="11" t="n"/>
      <c r="M56" s="11">
        <f>IF($D56="","",SUMIFS('AYLIK KESİNTİLER'!$E$2:$E$5000,'AYLIK KESİNTİLER'!$A$2:$A$5000,$A56,'AYLIK KESİNTİLER'!$B$2:$B$5000,$D56))</f>
        <v/>
      </c>
      <c r="N56" s="11">
        <f>IF($D56="","",$L56+$M56)</f>
        <v/>
      </c>
      <c r="O56" s="11">
        <f>IF($D56="","",$H56-$N56)</f>
        <v/>
      </c>
      <c r="P56" s="12">
        <f>IF($D56="","",IF($O56&lt;=0,"KAPANDI",IF(COUNTIFS($A$2:$A$200,$A56,$E$2:$E$200,"&lt;"&amp;$E56,$O$2:$O$200,"&gt;0")=0,"ÖDEMEDE","SIRADA")))</f>
        <v/>
      </c>
      <c r="Q56" s="8" t="n"/>
      <c r="R56" s="8" t="n"/>
      <c r="S56">
        <f>IF($D56="","",$A56&amp;"|"&amp;$P56)</f>
        <v/>
      </c>
    </row>
    <row r="57">
      <c r="A57" s="8" t="n"/>
      <c r="B57" s="9" t="n"/>
      <c r="C57" s="10" t="n"/>
      <c r="D57" s="8" t="n"/>
      <c r="E57" s="8" t="n"/>
      <c r="F57" s="8" t="n"/>
      <c r="G57" s="8" t="n"/>
      <c r="H57" s="11" t="n"/>
      <c r="I57" s="8" t="n"/>
      <c r="J57" s="8" t="n"/>
      <c r="K57" s="11" t="n"/>
      <c r="L57" s="11" t="n"/>
      <c r="M57" s="11">
        <f>IF($D57="","",SUMIFS('AYLIK KESİNTİLER'!$E$2:$E$5000,'AYLIK KESİNTİLER'!$A$2:$A$5000,$A57,'AYLIK KESİNTİLER'!$B$2:$B$5000,$D57))</f>
        <v/>
      </c>
      <c r="N57" s="11">
        <f>IF($D57="","",$L57+$M57)</f>
        <v/>
      </c>
      <c r="O57" s="11">
        <f>IF($D57="","",$H57-$N57)</f>
        <v/>
      </c>
      <c r="P57" s="12">
        <f>IF($D57="","",IF($O57&lt;=0,"KAPANDI",IF(COUNTIFS($A$2:$A$200,$A57,$E$2:$E$200,"&lt;"&amp;$E57,$O$2:$O$200,"&gt;0")=0,"ÖDEMEDE","SIRADA")))</f>
        <v/>
      </c>
      <c r="Q57" s="8" t="n"/>
      <c r="R57" s="8" t="n"/>
      <c r="S57">
        <f>IF($D57="","",$A57&amp;"|"&amp;$P57)</f>
        <v/>
      </c>
    </row>
    <row r="58">
      <c r="A58" s="8" t="n"/>
      <c r="B58" s="9" t="n"/>
      <c r="C58" s="10" t="n"/>
      <c r="D58" s="8" t="n"/>
      <c r="E58" s="8" t="n"/>
      <c r="F58" s="8" t="n"/>
      <c r="G58" s="8" t="n"/>
      <c r="H58" s="11" t="n"/>
      <c r="I58" s="8" t="n"/>
      <c r="J58" s="8" t="n"/>
      <c r="K58" s="11" t="n"/>
      <c r="L58" s="11" t="n"/>
      <c r="M58" s="11">
        <f>IF($D58="","",SUMIFS('AYLIK KESİNTİLER'!$E$2:$E$5000,'AYLIK KESİNTİLER'!$A$2:$A$5000,$A58,'AYLIK KESİNTİLER'!$B$2:$B$5000,$D58))</f>
        <v/>
      </c>
      <c r="N58" s="11">
        <f>IF($D58="","",$L58+$M58)</f>
        <v/>
      </c>
      <c r="O58" s="11">
        <f>IF($D58="","",$H58-$N58)</f>
        <v/>
      </c>
      <c r="P58" s="12">
        <f>IF($D58="","",IF($O58&lt;=0,"KAPANDI",IF(COUNTIFS($A$2:$A$200,$A58,$E$2:$E$200,"&lt;"&amp;$E58,$O$2:$O$200,"&gt;0")=0,"ÖDEMEDE","SIRADA")))</f>
        <v/>
      </c>
      <c r="Q58" s="8" t="n"/>
      <c r="R58" s="8" t="n"/>
      <c r="S58">
        <f>IF($D58="","",$A58&amp;"|"&amp;$P58)</f>
        <v/>
      </c>
    </row>
    <row r="59">
      <c r="A59" s="8" t="n"/>
      <c r="B59" s="9" t="n"/>
      <c r="C59" s="10" t="n"/>
      <c r="D59" s="8" t="n"/>
      <c r="E59" s="8" t="n"/>
      <c r="F59" s="8" t="n"/>
      <c r="G59" s="8" t="n"/>
      <c r="H59" s="11" t="n"/>
      <c r="I59" s="8" t="n"/>
      <c r="J59" s="8" t="n"/>
      <c r="K59" s="11" t="n"/>
      <c r="L59" s="11" t="n"/>
      <c r="M59" s="11">
        <f>IF($D59="","",SUMIFS('AYLIK KESİNTİLER'!$E$2:$E$5000,'AYLIK KESİNTİLER'!$A$2:$A$5000,$A59,'AYLIK KESİNTİLER'!$B$2:$B$5000,$D59))</f>
        <v/>
      </c>
      <c r="N59" s="11">
        <f>IF($D59="","",$L59+$M59)</f>
        <v/>
      </c>
      <c r="O59" s="11">
        <f>IF($D59="","",$H59-$N59)</f>
        <v/>
      </c>
      <c r="P59" s="12">
        <f>IF($D59="","",IF($O59&lt;=0,"KAPANDI",IF(COUNTIFS($A$2:$A$200,$A59,$E$2:$E$200,"&lt;"&amp;$E59,$O$2:$O$200,"&gt;0")=0,"ÖDEMEDE","SIRADA")))</f>
        <v/>
      </c>
      <c r="Q59" s="8" t="n"/>
      <c r="R59" s="8" t="n"/>
      <c r="S59">
        <f>IF($D59="","",$A59&amp;"|"&amp;$P59)</f>
        <v/>
      </c>
    </row>
    <row r="60">
      <c r="A60" s="8" t="n"/>
      <c r="B60" s="9" t="n"/>
      <c r="C60" s="10" t="n"/>
      <c r="D60" s="8" t="n"/>
      <c r="E60" s="8" t="n"/>
      <c r="F60" s="8" t="n"/>
      <c r="G60" s="8" t="n"/>
      <c r="H60" s="11" t="n"/>
      <c r="I60" s="8" t="n"/>
      <c r="J60" s="8" t="n"/>
      <c r="K60" s="11" t="n"/>
      <c r="L60" s="11" t="n"/>
      <c r="M60" s="11">
        <f>IF($D60="","",SUMIFS('AYLIK KESİNTİLER'!$E$2:$E$5000,'AYLIK KESİNTİLER'!$A$2:$A$5000,$A60,'AYLIK KESİNTİLER'!$B$2:$B$5000,$D60))</f>
        <v/>
      </c>
      <c r="N60" s="11">
        <f>IF($D60="","",$L60+$M60)</f>
        <v/>
      </c>
      <c r="O60" s="11">
        <f>IF($D60="","",$H60-$N60)</f>
        <v/>
      </c>
      <c r="P60" s="12">
        <f>IF($D60="","",IF($O60&lt;=0,"KAPANDI",IF(COUNTIFS($A$2:$A$200,$A60,$E$2:$E$200,"&lt;"&amp;$E60,$O$2:$O$200,"&gt;0")=0,"ÖDEMEDE","SIRADA")))</f>
        <v/>
      </c>
      <c r="Q60" s="8" t="n"/>
      <c r="R60" s="8" t="n"/>
      <c r="S60">
        <f>IF($D60="","",$A60&amp;"|"&amp;$P60)</f>
        <v/>
      </c>
    </row>
    <row r="61">
      <c r="A61" s="8" t="n"/>
      <c r="B61" s="9" t="n"/>
      <c r="C61" s="10" t="n"/>
      <c r="D61" s="8" t="n"/>
      <c r="E61" s="8" t="n"/>
      <c r="F61" s="8" t="n"/>
      <c r="G61" s="8" t="n"/>
      <c r="H61" s="11" t="n"/>
      <c r="I61" s="8" t="n"/>
      <c r="J61" s="8" t="n"/>
      <c r="K61" s="11" t="n"/>
      <c r="L61" s="11" t="n"/>
      <c r="M61" s="11">
        <f>IF($D61="","",SUMIFS('AYLIK KESİNTİLER'!$E$2:$E$5000,'AYLIK KESİNTİLER'!$A$2:$A$5000,$A61,'AYLIK KESİNTİLER'!$B$2:$B$5000,$D61))</f>
        <v/>
      </c>
      <c r="N61" s="11">
        <f>IF($D61="","",$L61+$M61)</f>
        <v/>
      </c>
      <c r="O61" s="11">
        <f>IF($D61="","",$H61-$N61)</f>
        <v/>
      </c>
      <c r="P61" s="12">
        <f>IF($D61="","",IF($O61&lt;=0,"KAPANDI",IF(COUNTIFS($A$2:$A$200,$A61,$E$2:$E$200,"&lt;"&amp;$E61,$O$2:$O$200,"&gt;0")=0,"ÖDEMEDE","SIRADA")))</f>
        <v/>
      </c>
      <c r="Q61" s="8" t="n"/>
      <c r="R61" s="8" t="n"/>
      <c r="S61">
        <f>IF($D61="","",$A61&amp;"|"&amp;$P61)</f>
        <v/>
      </c>
    </row>
    <row r="62">
      <c r="A62" s="8" t="n"/>
      <c r="B62" s="9" t="n"/>
      <c r="C62" s="10" t="n"/>
      <c r="D62" s="8" t="n"/>
      <c r="E62" s="8" t="n"/>
      <c r="F62" s="8" t="n"/>
      <c r="G62" s="8" t="n"/>
      <c r="H62" s="11" t="n"/>
      <c r="I62" s="8" t="n"/>
      <c r="J62" s="8" t="n"/>
      <c r="K62" s="11" t="n"/>
      <c r="L62" s="11" t="n"/>
      <c r="M62" s="11">
        <f>IF($D62="","",SUMIFS('AYLIK KESİNTİLER'!$E$2:$E$5000,'AYLIK KESİNTİLER'!$A$2:$A$5000,$A62,'AYLIK KESİNTİLER'!$B$2:$B$5000,$D62))</f>
        <v/>
      </c>
      <c r="N62" s="11">
        <f>IF($D62="","",$L62+$M62)</f>
        <v/>
      </c>
      <c r="O62" s="11">
        <f>IF($D62="","",$H62-$N62)</f>
        <v/>
      </c>
      <c r="P62" s="12">
        <f>IF($D62="","",IF($O62&lt;=0,"KAPANDI",IF(COUNTIFS($A$2:$A$200,$A62,$E$2:$E$200,"&lt;"&amp;$E62,$O$2:$O$200,"&gt;0")=0,"ÖDEMEDE","SIRADA")))</f>
        <v/>
      </c>
      <c r="Q62" s="8" t="n"/>
      <c r="R62" s="8" t="n"/>
      <c r="S62">
        <f>IF($D62="","",$A62&amp;"|"&amp;$P62)</f>
        <v/>
      </c>
    </row>
    <row r="63">
      <c r="A63" s="8" t="n"/>
      <c r="B63" s="9" t="n"/>
      <c r="C63" s="10" t="n"/>
      <c r="D63" s="8" t="n"/>
      <c r="E63" s="8" t="n"/>
      <c r="F63" s="8" t="n"/>
      <c r="G63" s="8" t="n"/>
      <c r="H63" s="11" t="n"/>
      <c r="I63" s="8" t="n"/>
      <c r="J63" s="8" t="n"/>
      <c r="K63" s="11" t="n"/>
      <c r="L63" s="11" t="n"/>
      <c r="M63" s="11">
        <f>IF($D63="","",SUMIFS('AYLIK KESİNTİLER'!$E$2:$E$5000,'AYLIK KESİNTİLER'!$A$2:$A$5000,$A63,'AYLIK KESİNTİLER'!$B$2:$B$5000,$D63))</f>
        <v/>
      </c>
      <c r="N63" s="11">
        <f>IF($D63="","",$L63+$M63)</f>
        <v/>
      </c>
      <c r="O63" s="11">
        <f>IF($D63="","",$H63-$N63)</f>
        <v/>
      </c>
      <c r="P63" s="12">
        <f>IF($D63="","",IF($O63&lt;=0,"KAPANDI",IF(COUNTIFS($A$2:$A$200,$A63,$E$2:$E$200,"&lt;"&amp;$E63,$O$2:$O$200,"&gt;0")=0,"ÖDEMEDE","SIRADA")))</f>
        <v/>
      </c>
      <c r="Q63" s="8" t="n"/>
      <c r="R63" s="8" t="n"/>
      <c r="S63">
        <f>IF($D63="","",$A63&amp;"|"&amp;$P63)</f>
        <v/>
      </c>
    </row>
    <row r="64">
      <c r="A64" s="8" t="n"/>
      <c r="B64" s="9" t="n"/>
      <c r="C64" s="10" t="n"/>
      <c r="D64" s="8" t="n"/>
      <c r="E64" s="8" t="n"/>
      <c r="F64" s="8" t="n"/>
      <c r="G64" s="8" t="n"/>
      <c r="H64" s="11" t="n"/>
      <c r="I64" s="8" t="n"/>
      <c r="J64" s="8" t="n"/>
      <c r="K64" s="11" t="n"/>
      <c r="L64" s="11" t="n"/>
      <c r="M64" s="11">
        <f>IF($D64="","",SUMIFS('AYLIK KESİNTİLER'!$E$2:$E$5000,'AYLIK KESİNTİLER'!$A$2:$A$5000,$A64,'AYLIK KESİNTİLER'!$B$2:$B$5000,$D64))</f>
        <v/>
      </c>
      <c r="N64" s="11">
        <f>IF($D64="","",$L64+$M64)</f>
        <v/>
      </c>
      <c r="O64" s="11">
        <f>IF($D64="","",$H64-$N64)</f>
        <v/>
      </c>
      <c r="P64" s="12">
        <f>IF($D64="","",IF($O64&lt;=0,"KAPANDI",IF(COUNTIFS($A$2:$A$200,$A64,$E$2:$E$200,"&lt;"&amp;$E64,$O$2:$O$200,"&gt;0")=0,"ÖDEMEDE","SIRADA")))</f>
        <v/>
      </c>
      <c r="Q64" s="8" t="n"/>
      <c r="R64" s="8" t="n"/>
      <c r="S64">
        <f>IF($D64="","",$A64&amp;"|"&amp;$P64)</f>
        <v/>
      </c>
    </row>
    <row r="65">
      <c r="A65" s="8" t="n"/>
      <c r="B65" s="9" t="n"/>
      <c r="C65" s="10" t="n"/>
      <c r="D65" s="8" t="n"/>
      <c r="E65" s="8" t="n"/>
      <c r="F65" s="8" t="n"/>
      <c r="G65" s="8" t="n"/>
      <c r="H65" s="11" t="n"/>
      <c r="I65" s="8" t="n"/>
      <c r="J65" s="8" t="n"/>
      <c r="K65" s="11" t="n"/>
      <c r="L65" s="11" t="n"/>
      <c r="M65" s="11">
        <f>IF($D65="","",SUMIFS('AYLIK KESİNTİLER'!$E$2:$E$5000,'AYLIK KESİNTİLER'!$A$2:$A$5000,$A65,'AYLIK KESİNTİLER'!$B$2:$B$5000,$D65))</f>
        <v/>
      </c>
      <c r="N65" s="11">
        <f>IF($D65="","",$L65+$M65)</f>
        <v/>
      </c>
      <c r="O65" s="11">
        <f>IF($D65="","",$H65-$N65)</f>
        <v/>
      </c>
      <c r="P65" s="12">
        <f>IF($D65="","",IF($O65&lt;=0,"KAPANDI",IF(COUNTIFS($A$2:$A$200,$A65,$E$2:$E$200,"&lt;"&amp;$E65,$O$2:$O$200,"&gt;0")=0,"ÖDEMEDE","SIRADA")))</f>
        <v/>
      </c>
      <c r="Q65" s="8" t="n"/>
      <c r="R65" s="8" t="n"/>
      <c r="S65">
        <f>IF($D65="","",$A65&amp;"|"&amp;$P65)</f>
        <v/>
      </c>
    </row>
    <row r="66">
      <c r="A66" s="8" t="n"/>
      <c r="B66" s="9" t="n"/>
      <c r="C66" s="10" t="n"/>
      <c r="D66" s="8" t="n"/>
      <c r="E66" s="8" t="n"/>
      <c r="F66" s="8" t="n"/>
      <c r="G66" s="8" t="n"/>
      <c r="H66" s="11" t="n"/>
      <c r="I66" s="8" t="n"/>
      <c r="J66" s="8" t="n"/>
      <c r="K66" s="11" t="n"/>
      <c r="L66" s="11" t="n"/>
      <c r="M66" s="11">
        <f>IF($D66="","",SUMIFS('AYLIK KESİNTİLER'!$E$2:$E$5000,'AYLIK KESİNTİLER'!$A$2:$A$5000,$A66,'AYLIK KESİNTİLER'!$B$2:$B$5000,$D66))</f>
        <v/>
      </c>
      <c r="N66" s="11">
        <f>IF($D66="","",$L66+$M66)</f>
        <v/>
      </c>
      <c r="O66" s="11">
        <f>IF($D66="","",$H66-$N66)</f>
        <v/>
      </c>
      <c r="P66" s="12">
        <f>IF($D66="","",IF($O66&lt;=0,"KAPANDI",IF(COUNTIFS($A$2:$A$200,$A66,$E$2:$E$200,"&lt;"&amp;$E66,$O$2:$O$200,"&gt;0")=0,"ÖDEMEDE","SIRADA")))</f>
        <v/>
      </c>
      <c r="Q66" s="8" t="n"/>
      <c r="R66" s="8" t="n"/>
      <c r="S66">
        <f>IF($D66="","",$A66&amp;"|"&amp;$P66)</f>
        <v/>
      </c>
    </row>
    <row r="67">
      <c r="A67" s="8" t="n"/>
      <c r="B67" s="9" t="n"/>
      <c r="C67" s="10" t="n"/>
      <c r="D67" s="8" t="n"/>
      <c r="E67" s="8" t="n"/>
      <c r="F67" s="8" t="n"/>
      <c r="G67" s="8" t="n"/>
      <c r="H67" s="11" t="n"/>
      <c r="I67" s="8" t="n"/>
      <c r="J67" s="8" t="n"/>
      <c r="K67" s="11" t="n"/>
      <c r="L67" s="11" t="n"/>
      <c r="M67" s="11">
        <f>IF($D67="","",SUMIFS('AYLIK KESİNTİLER'!$E$2:$E$5000,'AYLIK KESİNTİLER'!$A$2:$A$5000,$A67,'AYLIK KESİNTİLER'!$B$2:$B$5000,$D67))</f>
        <v/>
      </c>
      <c r="N67" s="11">
        <f>IF($D67="","",$L67+$M67)</f>
        <v/>
      </c>
      <c r="O67" s="11">
        <f>IF($D67="","",$H67-$N67)</f>
        <v/>
      </c>
      <c r="P67" s="12">
        <f>IF($D67="","",IF($O67&lt;=0,"KAPANDI",IF(COUNTIFS($A$2:$A$200,$A67,$E$2:$E$200,"&lt;"&amp;$E67,$O$2:$O$200,"&gt;0")=0,"ÖDEMEDE","SIRADA")))</f>
        <v/>
      </c>
      <c r="Q67" s="8" t="n"/>
      <c r="R67" s="8" t="n"/>
      <c r="S67">
        <f>IF($D67="","",$A67&amp;"|"&amp;$P67)</f>
        <v/>
      </c>
    </row>
    <row r="68">
      <c r="A68" s="8" t="n"/>
      <c r="B68" s="9" t="n"/>
      <c r="C68" s="10" t="n"/>
      <c r="D68" s="8" t="n"/>
      <c r="E68" s="8" t="n"/>
      <c r="F68" s="8" t="n"/>
      <c r="G68" s="8" t="n"/>
      <c r="H68" s="11" t="n"/>
      <c r="I68" s="8" t="n"/>
      <c r="J68" s="8" t="n"/>
      <c r="K68" s="11" t="n"/>
      <c r="L68" s="11" t="n"/>
      <c r="M68" s="11">
        <f>IF($D68="","",SUMIFS('AYLIK KESİNTİLER'!$E$2:$E$5000,'AYLIK KESİNTİLER'!$A$2:$A$5000,$A68,'AYLIK KESİNTİLER'!$B$2:$B$5000,$D68))</f>
        <v/>
      </c>
      <c r="N68" s="11">
        <f>IF($D68="","",$L68+$M68)</f>
        <v/>
      </c>
      <c r="O68" s="11">
        <f>IF($D68="","",$H68-$N68)</f>
        <v/>
      </c>
      <c r="P68" s="12">
        <f>IF($D68="","",IF($O68&lt;=0,"KAPANDI",IF(COUNTIFS($A$2:$A$200,$A68,$E$2:$E$200,"&lt;"&amp;$E68,$O$2:$O$200,"&gt;0")=0,"ÖDEMEDE","SIRADA")))</f>
        <v/>
      </c>
      <c r="Q68" s="8" t="n"/>
      <c r="R68" s="8" t="n"/>
      <c r="S68">
        <f>IF($D68="","",$A68&amp;"|"&amp;$P68)</f>
        <v/>
      </c>
    </row>
    <row r="69">
      <c r="A69" s="8" t="n"/>
      <c r="B69" s="9" t="n"/>
      <c r="C69" s="10" t="n"/>
      <c r="D69" s="8" t="n"/>
      <c r="E69" s="8" t="n"/>
      <c r="F69" s="8" t="n"/>
      <c r="G69" s="8" t="n"/>
      <c r="H69" s="11" t="n"/>
      <c r="I69" s="8" t="n"/>
      <c r="J69" s="8" t="n"/>
      <c r="K69" s="11" t="n"/>
      <c r="L69" s="11" t="n"/>
      <c r="M69" s="11">
        <f>IF($D69="","",SUMIFS('AYLIK KESİNTİLER'!$E$2:$E$5000,'AYLIK KESİNTİLER'!$A$2:$A$5000,$A69,'AYLIK KESİNTİLER'!$B$2:$B$5000,$D69))</f>
        <v/>
      </c>
      <c r="N69" s="11">
        <f>IF($D69="","",$L69+$M69)</f>
        <v/>
      </c>
      <c r="O69" s="11">
        <f>IF($D69="","",$H69-$N69)</f>
        <v/>
      </c>
      <c r="P69" s="12">
        <f>IF($D69="","",IF($O69&lt;=0,"KAPANDI",IF(COUNTIFS($A$2:$A$200,$A69,$E$2:$E$200,"&lt;"&amp;$E69,$O$2:$O$200,"&gt;0")=0,"ÖDEMEDE","SIRADA")))</f>
        <v/>
      </c>
      <c r="Q69" s="8" t="n"/>
      <c r="R69" s="8" t="n"/>
      <c r="S69">
        <f>IF($D69="","",$A69&amp;"|"&amp;$P69)</f>
        <v/>
      </c>
    </row>
    <row r="70">
      <c r="A70" s="8" t="n"/>
      <c r="B70" s="9" t="n"/>
      <c r="C70" s="10" t="n"/>
      <c r="D70" s="8" t="n"/>
      <c r="E70" s="8" t="n"/>
      <c r="F70" s="8" t="n"/>
      <c r="G70" s="8" t="n"/>
      <c r="H70" s="11" t="n"/>
      <c r="I70" s="8" t="n"/>
      <c r="J70" s="8" t="n"/>
      <c r="K70" s="11" t="n"/>
      <c r="L70" s="11" t="n"/>
      <c r="M70" s="11">
        <f>IF($D70="","",SUMIFS('AYLIK KESİNTİLER'!$E$2:$E$5000,'AYLIK KESİNTİLER'!$A$2:$A$5000,$A70,'AYLIK KESİNTİLER'!$B$2:$B$5000,$D70))</f>
        <v/>
      </c>
      <c r="N70" s="11">
        <f>IF($D70="","",$L70+$M70)</f>
        <v/>
      </c>
      <c r="O70" s="11">
        <f>IF($D70="","",$H70-$N70)</f>
        <v/>
      </c>
      <c r="P70" s="12">
        <f>IF($D70="","",IF($O70&lt;=0,"KAPANDI",IF(COUNTIFS($A$2:$A$200,$A70,$E$2:$E$200,"&lt;"&amp;$E70,$O$2:$O$200,"&gt;0")=0,"ÖDEMEDE","SIRADA")))</f>
        <v/>
      </c>
      <c r="Q70" s="8" t="n"/>
      <c r="R70" s="8" t="n"/>
      <c r="S70">
        <f>IF($D70="","",$A70&amp;"|"&amp;$P70)</f>
        <v/>
      </c>
    </row>
    <row r="71">
      <c r="A71" s="8" t="n"/>
      <c r="B71" s="9" t="n"/>
      <c r="C71" s="10" t="n"/>
      <c r="D71" s="8" t="n"/>
      <c r="E71" s="8" t="n"/>
      <c r="F71" s="8" t="n"/>
      <c r="G71" s="8" t="n"/>
      <c r="H71" s="11" t="n"/>
      <c r="I71" s="8" t="n"/>
      <c r="J71" s="8" t="n"/>
      <c r="K71" s="11" t="n"/>
      <c r="L71" s="11" t="n"/>
      <c r="M71" s="11">
        <f>IF($D71="","",SUMIFS('AYLIK KESİNTİLER'!$E$2:$E$5000,'AYLIK KESİNTİLER'!$A$2:$A$5000,$A71,'AYLIK KESİNTİLER'!$B$2:$B$5000,$D71))</f>
        <v/>
      </c>
      <c r="N71" s="11">
        <f>IF($D71="","",$L71+$M71)</f>
        <v/>
      </c>
      <c r="O71" s="11">
        <f>IF($D71="","",$H71-$N71)</f>
        <v/>
      </c>
      <c r="P71" s="12">
        <f>IF($D71="","",IF($O71&lt;=0,"KAPANDI",IF(COUNTIFS($A$2:$A$200,$A71,$E$2:$E$200,"&lt;"&amp;$E71,$O$2:$O$200,"&gt;0")=0,"ÖDEMEDE","SIRADA")))</f>
        <v/>
      </c>
      <c r="Q71" s="8" t="n"/>
      <c r="R71" s="8" t="n"/>
      <c r="S71">
        <f>IF($D71="","",$A71&amp;"|"&amp;$P71)</f>
        <v/>
      </c>
    </row>
    <row r="72">
      <c r="A72" s="8" t="n"/>
      <c r="B72" s="9" t="n"/>
      <c r="C72" s="10" t="n"/>
      <c r="D72" s="8" t="n"/>
      <c r="E72" s="8" t="n"/>
      <c r="F72" s="8" t="n"/>
      <c r="G72" s="8" t="n"/>
      <c r="H72" s="11" t="n"/>
      <c r="I72" s="8" t="n"/>
      <c r="J72" s="8" t="n"/>
      <c r="K72" s="11" t="n"/>
      <c r="L72" s="11" t="n"/>
      <c r="M72" s="11">
        <f>IF($D72="","",SUMIFS('AYLIK KESİNTİLER'!$E$2:$E$5000,'AYLIK KESİNTİLER'!$A$2:$A$5000,$A72,'AYLIK KESİNTİLER'!$B$2:$B$5000,$D72))</f>
        <v/>
      </c>
      <c r="N72" s="11">
        <f>IF($D72="","",$L72+$M72)</f>
        <v/>
      </c>
      <c r="O72" s="11">
        <f>IF($D72="","",$H72-$N72)</f>
        <v/>
      </c>
      <c r="P72" s="12">
        <f>IF($D72="","",IF($O72&lt;=0,"KAPANDI",IF(COUNTIFS($A$2:$A$200,$A72,$E$2:$E$200,"&lt;"&amp;$E72,$O$2:$O$200,"&gt;0")=0,"ÖDEMEDE","SIRADA")))</f>
        <v/>
      </c>
      <c r="Q72" s="8" t="n"/>
      <c r="R72" s="8" t="n"/>
      <c r="S72">
        <f>IF($D72="","",$A72&amp;"|"&amp;$P72)</f>
        <v/>
      </c>
    </row>
    <row r="73">
      <c r="A73" s="8" t="n"/>
      <c r="B73" s="9" t="n"/>
      <c r="C73" s="10" t="n"/>
      <c r="D73" s="8" t="n"/>
      <c r="E73" s="8" t="n"/>
      <c r="F73" s="8" t="n"/>
      <c r="G73" s="8" t="n"/>
      <c r="H73" s="11" t="n"/>
      <c r="I73" s="8" t="n"/>
      <c r="J73" s="8" t="n"/>
      <c r="K73" s="11" t="n"/>
      <c r="L73" s="11" t="n"/>
      <c r="M73" s="11">
        <f>IF($D73="","",SUMIFS('AYLIK KESİNTİLER'!$E$2:$E$5000,'AYLIK KESİNTİLER'!$A$2:$A$5000,$A73,'AYLIK KESİNTİLER'!$B$2:$B$5000,$D73))</f>
        <v/>
      </c>
      <c r="N73" s="11">
        <f>IF($D73="","",$L73+$M73)</f>
        <v/>
      </c>
      <c r="O73" s="11">
        <f>IF($D73="","",$H73-$N73)</f>
        <v/>
      </c>
      <c r="P73" s="12">
        <f>IF($D73="","",IF($O73&lt;=0,"KAPANDI",IF(COUNTIFS($A$2:$A$200,$A73,$E$2:$E$200,"&lt;"&amp;$E73,$O$2:$O$200,"&gt;0")=0,"ÖDEMEDE","SIRADA")))</f>
        <v/>
      </c>
      <c r="Q73" s="8" t="n"/>
      <c r="R73" s="8" t="n"/>
      <c r="S73">
        <f>IF($D73="","",$A73&amp;"|"&amp;$P73)</f>
        <v/>
      </c>
    </row>
    <row r="74">
      <c r="A74" s="8" t="n"/>
      <c r="B74" s="9" t="n"/>
      <c r="C74" s="10" t="n"/>
      <c r="D74" s="8" t="n"/>
      <c r="E74" s="8" t="n"/>
      <c r="F74" s="8" t="n"/>
      <c r="G74" s="8" t="n"/>
      <c r="H74" s="11" t="n"/>
      <c r="I74" s="8" t="n"/>
      <c r="J74" s="8" t="n"/>
      <c r="K74" s="11" t="n"/>
      <c r="L74" s="11" t="n"/>
      <c r="M74" s="11">
        <f>IF($D74="","",SUMIFS('AYLIK KESİNTİLER'!$E$2:$E$5000,'AYLIK KESİNTİLER'!$A$2:$A$5000,$A74,'AYLIK KESİNTİLER'!$B$2:$B$5000,$D74))</f>
        <v/>
      </c>
      <c r="N74" s="11">
        <f>IF($D74="","",$L74+$M74)</f>
        <v/>
      </c>
      <c r="O74" s="11">
        <f>IF($D74="","",$H74-$N74)</f>
        <v/>
      </c>
      <c r="P74" s="12">
        <f>IF($D74="","",IF($O74&lt;=0,"KAPANDI",IF(COUNTIFS($A$2:$A$200,$A74,$E$2:$E$200,"&lt;"&amp;$E74,$O$2:$O$200,"&gt;0")=0,"ÖDEMEDE","SIRADA")))</f>
        <v/>
      </c>
      <c r="Q74" s="8" t="n"/>
      <c r="R74" s="8" t="n"/>
      <c r="S74">
        <f>IF($D74="","",$A74&amp;"|"&amp;$P74)</f>
        <v/>
      </c>
    </row>
    <row r="75">
      <c r="A75" s="8" t="n"/>
      <c r="B75" s="9" t="n"/>
      <c r="C75" s="10" t="n"/>
      <c r="D75" s="8" t="n"/>
      <c r="E75" s="8" t="n"/>
      <c r="F75" s="8" t="n"/>
      <c r="G75" s="8" t="n"/>
      <c r="H75" s="11" t="n"/>
      <c r="I75" s="8" t="n"/>
      <c r="J75" s="8" t="n"/>
      <c r="K75" s="11" t="n"/>
      <c r="L75" s="11" t="n"/>
      <c r="M75" s="11">
        <f>IF($D75="","",SUMIFS('AYLIK KESİNTİLER'!$E$2:$E$5000,'AYLIK KESİNTİLER'!$A$2:$A$5000,$A75,'AYLIK KESİNTİLER'!$B$2:$B$5000,$D75))</f>
        <v/>
      </c>
      <c r="N75" s="11">
        <f>IF($D75="","",$L75+$M75)</f>
        <v/>
      </c>
      <c r="O75" s="11">
        <f>IF($D75="","",$H75-$N75)</f>
        <v/>
      </c>
      <c r="P75" s="12">
        <f>IF($D75="","",IF($O75&lt;=0,"KAPANDI",IF(COUNTIFS($A$2:$A$200,$A75,$E$2:$E$200,"&lt;"&amp;$E75,$O$2:$O$200,"&gt;0")=0,"ÖDEMEDE","SIRADA")))</f>
        <v/>
      </c>
      <c r="Q75" s="8" t="n"/>
      <c r="R75" s="8" t="n"/>
      <c r="S75">
        <f>IF($D75="","",$A75&amp;"|"&amp;$P75)</f>
        <v/>
      </c>
    </row>
    <row r="76">
      <c r="A76" s="8" t="n"/>
      <c r="B76" s="9" t="n"/>
      <c r="C76" s="10" t="n"/>
      <c r="D76" s="8" t="n"/>
      <c r="E76" s="8" t="n"/>
      <c r="F76" s="8" t="n"/>
      <c r="G76" s="8" t="n"/>
      <c r="H76" s="11" t="n"/>
      <c r="I76" s="8" t="n"/>
      <c r="J76" s="8" t="n"/>
      <c r="K76" s="11" t="n"/>
      <c r="L76" s="11" t="n"/>
      <c r="M76" s="11">
        <f>IF($D76="","",SUMIFS('AYLIK KESİNTİLER'!$E$2:$E$5000,'AYLIK KESİNTİLER'!$A$2:$A$5000,$A76,'AYLIK KESİNTİLER'!$B$2:$B$5000,$D76))</f>
        <v/>
      </c>
      <c r="N76" s="11">
        <f>IF($D76="","",$L76+$M76)</f>
        <v/>
      </c>
      <c r="O76" s="11">
        <f>IF($D76="","",$H76-$N76)</f>
        <v/>
      </c>
      <c r="P76" s="12">
        <f>IF($D76="","",IF($O76&lt;=0,"KAPANDI",IF(COUNTIFS($A$2:$A$200,$A76,$E$2:$E$200,"&lt;"&amp;$E76,$O$2:$O$200,"&gt;0")=0,"ÖDEMEDE","SIRADA")))</f>
        <v/>
      </c>
      <c r="Q76" s="8" t="n"/>
      <c r="R76" s="8" t="n"/>
      <c r="S76">
        <f>IF($D76="","",$A76&amp;"|"&amp;$P76)</f>
        <v/>
      </c>
    </row>
    <row r="77">
      <c r="A77" s="8" t="n"/>
      <c r="B77" s="9" t="n"/>
      <c r="C77" s="10" t="n"/>
      <c r="D77" s="8" t="n"/>
      <c r="E77" s="8" t="n"/>
      <c r="F77" s="8" t="n"/>
      <c r="G77" s="8" t="n"/>
      <c r="H77" s="11" t="n"/>
      <c r="I77" s="8" t="n"/>
      <c r="J77" s="8" t="n"/>
      <c r="K77" s="11" t="n"/>
      <c r="L77" s="11" t="n"/>
      <c r="M77" s="11">
        <f>IF($D77="","",SUMIFS('AYLIK KESİNTİLER'!$E$2:$E$5000,'AYLIK KESİNTİLER'!$A$2:$A$5000,$A77,'AYLIK KESİNTİLER'!$B$2:$B$5000,$D77))</f>
        <v/>
      </c>
      <c r="N77" s="11">
        <f>IF($D77="","",$L77+$M77)</f>
        <v/>
      </c>
      <c r="O77" s="11">
        <f>IF($D77="","",$H77-$N77)</f>
        <v/>
      </c>
      <c r="P77" s="12">
        <f>IF($D77="","",IF($O77&lt;=0,"KAPANDI",IF(COUNTIFS($A$2:$A$200,$A77,$E$2:$E$200,"&lt;"&amp;$E77,$O$2:$O$200,"&gt;0")=0,"ÖDEMEDE","SIRADA")))</f>
        <v/>
      </c>
      <c r="Q77" s="8" t="n"/>
      <c r="R77" s="8" t="n"/>
      <c r="S77">
        <f>IF($D77="","",$A77&amp;"|"&amp;$P77)</f>
        <v/>
      </c>
    </row>
    <row r="78">
      <c r="A78" s="8" t="n"/>
      <c r="B78" s="9" t="n"/>
      <c r="C78" s="10" t="n"/>
      <c r="D78" s="8" t="n"/>
      <c r="E78" s="8" t="n"/>
      <c r="F78" s="8" t="n"/>
      <c r="G78" s="8" t="n"/>
      <c r="H78" s="11" t="n"/>
      <c r="I78" s="8" t="n"/>
      <c r="J78" s="8" t="n"/>
      <c r="K78" s="11" t="n"/>
      <c r="L78" s="11" t="n"/>
      <c r="M78" s="11">
        <f>IF($D78="","",SUMIFS('AYLIK KESİNTİLER'!$E$2:$E$5000,'AYLIK KESİNTİLER'!$A$2:$A$5000,$A78,'AYLIK KESİNTİLER'!$B$2:$B$5000,$D78))</f>
        <v/>
      </c>
      <c r="N78" s="11">
        <f>IF($D78="","",$L78+$M78)</f>
        <v/>
      </c>
      <c r="O78" s="11">
        <f>IF($D78="","",$H78-$N78)</f>
        <v/>
      </c>
      <c r="P78" s="12">
        <f>IF($D78="","",IF($O78&lt;=0,"KAPANDI",IF(COUNTIFS($A$2:$A$200,$A78,$E$2:$E$200,"&lt;"&amp;$E78,$O$2:$O$200,"&gt;0")=0,"ÖDEMEDE","SIRADA")))</f>
        <v/>
      </c>
      <c r="Q78" s="8" t="n"/>
      <c r="R78" s="8" t="n"/>
      <c r="S78">
        <f>IF($D78="","",$A78&amp;"|"&amp;$P78)</f>
        <v/>
      </c>
    </row>
    <row r="79">
      <c r="A79" s="8" t="n"/>
      <c r="B79" s="9" t="n"/>
      <c r="C79" s="10" t="n"/>
      <c r="D79" s="8" t="n"/>
      <c r="E79" s="8" t="n"/>
      <c r="F79" s="8" t="n"/>
      <c r="G79" s="8" t="n"/>
      <c r="H79" s="11" t="n"/>
      <c r="I79" s="8" t="n"/>
      <c r="J79" s="8" t="n"/>
      <c r="K79" s="11" t="n"/>
      <c r="L79" s="11" t="n"/>
      <c r="M79" s="11">
        <f>IF($D79="","",SUMIFS('AYLIK KESİNTİLER'!$E$2:$E$5000,'AYLIK KESİNTİLER'!$A$2:$A$5000,$A79,'AYLIK KESİNTİLER'!$B$2:$B$5000,$D79))</f>
        <v/>
      </c>
      <c r="N79" s="11">
        <f>IF($D79="","",$L79+$M79)</f>
        <v/>
      </c>
      <c r="O79" s="11">
        <f>IF($D79="","",$H79-$N79)</f>
        <v/>
      </c>
      <c r="P79" s="12">
        <f>IF($D79="","",IF($O79&lt;=0,"KAPANDI",IF(COUNTIFS($A$2:$A$200,$A79,$E$2:$E$200,"&lt;"&amp;$E79,$O$2:$O$200,"&gt;0")=0,"ÖDEMEDE","SIRADA")))</f>
        <v/>
      </c>
      <c r="Q79" s="8" t="n"/>
      <c r="R79" s="8" t="n"/>
      <c r="S79">
        <f>IF($D79="","",$A79&amp;"|"&amp;$P79)</f>
        <v/>
      </c>
    </row>
    <row r="80">
      <c r="A80" s="8" t="n"/>
      <c r="B80" s="9" t="n"/>
      <c r="C80" s="10" t="n"/>
      <c r="D80" s="8" t="n"/>
      <c r="E80" s="8" t="n"/>
      <c r="F80" s="8" t="n"/>
      <c r="G80" s="8" t="n"/>
      <c r="H80" s="11" t="n"/>
      <c r="I80" s="8" t="n"/>
      <c r="J80" s="8" t="n"/>
      <c r="K80" s="11" t="n"/>
      <c r="L80" s="11" t="n"/>
      <c r="M80" s="11">
        <f>IF($D80="","",SUMIFS('AYLIK KESİNTİLER'!$E$2:$E$5000,'AYLIK KESİNTİLER'!$A$2:$A$5000,$A80,'AYLIK KESİNTİLER'!$B$2:$B$5000,$D80))</f>
        <v/>
      </c>
      <c r="N80" s="11">
        <f>IF($D80="","",$L80+$M80)</f>
        <v/>
      </c>
      <c r="O80" s="11">
        <f>IF($D80="","",$H80-$N80)</f>
        <v/>
      </c>
      <c r="P80" s="12">
        <f>IF($D80="","",IF($O80&lt;=0,"KAPANDI",IF(COUNTIFS($A$2:$A$200,$A80,$E$2:$E$200,"&lt;"&amp;$E80,$O$2:$O$200,"&gt;0")=0,"ÖDEMEDE","SIRADA")))</f>
        <v/>
      </c>
      <c r="Q80" s="8" t="n"/>
      <c r="R80" s="8" t="n"/>
      <c r="S80">
        <f>IF($D80="","",$A80&amp;"|"&amp;$P80)</f>
        <v/>
      </c>
    </row>
    <row r="81">
      <c r="A81" s="8" t="n"/>
      <c r="B81" s="9" t="n"/>
      <c r="C81" s="10" t="n"/>
      <c r="D81" s="8" t="n"/>
      <c r="E81" s="8" t="n"/>
      <c r="F81" s="8" t="n"/>
      <c r="G81" s="8" t="n"/>
      <c r="H81" s="11" t="n"/>
      <c r="I81" s="8" t="n"/>
      <c r="J81" s="8" t="n"/>
      <c r="K81" s="11" t="n"/>
      <c r="L81" s="11" t="n"/>
      <c r="M81" s="11">
        <f>IF($D81="","",SUMIFS('AYLIK KESİNTİLER'!$E$2:$E$5000,'AYLIK KESİNTİLER'!$A$2:$A$5000,$A81,'AYLIK KESİNTİLER'!$B$2:$B$5000,$D81))</f>
        <v/>
      </c>
      <c r="N81" s="11">
        <f>IF($D81="","",$L81+$M81)</f>
        <v/>
      </c>
      <c r="O81" s="11">
        <f>IF($D81="","",$H81-$N81)</f>
        <v/>
      </c>
      <c r="P81" s="12">
        <f>IF($D81="","",IF($O81&lt;=0,"KAPANDI",IF(COUNTIFS($A$2:$A$200,$A81,$E$2:$E$200,"&lt;"&amp;$E81,$O$2:$O$200,"&gt;0")=0,"ÖDEMEDE","SIRADA")))</f>
        <v/>
      </c>
      <c r="Q81" s="8" t="n"/>
      <c r="R81" s="8" t="n"/>
      <c r="S81">
        <f>IF($D81="","",$A81&amp;"|"&amp;$P81)</f>
        <v/>
      </c>
    </row>
    <row r="82">
      <c r="A82" s="8" t="n"/>
      <c r="B82" s="9" t="n"/>
      <c r="C82" s="10" t="n"/>
      <c r="D82" s="8" t="n"/>
      <c r="E82" s="8" t="n"/>
      <c r="F82" s="8" t="n"/>
      <c r="G82" s="8" t="n"/>
      <c r="H82" s="11" t="n"/>
      <c r="I82" s="8" t="n"/>
      <c r="J82" s="8" t="n"/>
      <c r="K82" s="11" t="n"/>
      <c r="L82" s="11" t="n"/>
      <c r="M82" s="11">
        <f>IF($D82="","",SUMIFS('AYLIK KESİNTİLER'!$E$2:$E$5000,'AYLIK KESİNTİLER'!$A$2:$A$5000,$A82,'AYLIK KESİNTİLER'!$B$2:$B$5000,$D82))</f>
        <v/>
      </c>
      <c r="N82" s="11">
        <f>IF($D82="","",$L82+$M82)</f>
        <v/>
      </c>
      <c r="O82" s="11">
        <f>IF($D82="","",$H82-$N82)</f>
        <v/>
      </c>
      <c r="P82" s="12">
        <f>IF($D82="","",IF($O82&lt;=0,"KAPANDI",IF(COUNTIFS($A$2:$A$200,$A82,$E$2:$E$200,"&lt;"&amp;$E82,$O$2:$O$200,"&gt;0")=0,"ÖDEMEDE","SIRADA")))</f>
        <v/>
      </c>
      <c r="Q82" s="8" t="n"/>
      <c r="R82" s="8" t="n"/>
      <c r="S82">
        <f>IF($D82="","",$A82&amp;"|"&amp;$P82)</f>
        <v/>
      </c>
    </row>
    <row r="83">
      <c r="A83" s="8" t="n"/>
      <c r="B83" s="9" t="n"/>
      <c r="C83" s="10" t="n"/>
      <c r="D83" s="8" t="n"/>
      <c r="E83" s="8" t="n"/>
      <c r="F83" s="8" t="n"/>
      <c r="G83" s="8" t="n"/>
      <c r="H83" s="11" t="n"/>
      <c r="I83" s="8" t="n"/>
      <c r="J83" s="8" t="n"/>
      <c r="K83" s="11" t="n"/>
      <c r="L83" s="11" t="n"/>
      <c r="M83" s="11">
        <f>IF($D83="","",SUMIFS('AYLIK KESİNTİLER'!$E$2:$E$5000,'AYLIK KESİNTİLER'!$A$2:$A$5000,$A83,'AYLIK KESİNTİLER'!$B$2:$B$5000,$D83))</f>
        <v/>
      </c>
      <c r="N83" s="11">
        <f>IF($D83="","",$L83+$M83)</f>
        <v/>
      </c>
      <c r="O83" s="11">
        <f>IF($D83="","",$H83-$N83)</f>
        <v/>
      </c>
      <c r="P83" s="12">
        <f>IF($D83="","",IF($O83&lt;=0,"KAPANDI",IF(COUNTIFS($A$2:$A$200,$A83,$E$2:$E$200,"&lt;"&amp;$E83,$O$2:$O$200,"&gt;0")=0,"ÖDEMEDE","SIRADA")))</f>
        <v/>
      </c>
      <c r="Q83" s="8" t="n"/>
      <c r="R83" s="8" t="n"/>
      <c r="S83">
        <f>IF($D83="","",$A83&amp;"|"&amp;$P83)</f>
        <v/>
      </c>
    </row>
    <row r="84">
      <c r="A84" s="8" t="n"/>
      <c r="B84" s="9" t="n"/>
      <c r="C84" s="10" t="n"/>
      <c r="D84" s="8" t="n"/>
      <c r="E84" s="8" t="n"/>
      <c r="F84" s="8" t="n"/>
      <c r="G84" s="8" t="n"/>
      <c r="H84" s="11" t="n"/>
      <c r="I84" s="8" t="n"/>
      <c r="J84" s="8" t="n"/>
      <c r="K84" s="11" t="n"/>
      <c r="L84" s="11" t="n"/>
      <c r="M84" s="11">
        <f>IF($D84="","",SUMIFS('AYLIK KESİNTİLER'!$E$2:$E$5000,'AYLIK KESİNTİLER'!$A$2:$A$5000,$A84,'AYLIK KESİNTİLER'!$B$2:$B$5000,$D84))</f>
        <v/>
      </c>
      <c r="N84" s="11">
        <f>IF($D84="","",$L84+$M84)</f>
        <v/>
      </c>
      <c r="O84" s="11">
        <f>IF($D84="","",$H84-$N84)</f>
        <v/>
      </c>
      <c r="P84" s="12">
        <f>IF($D84="","",IF($O84&lt;=0,"KAPANDI",IF(COUNTIFS($A$2:$A$200,$A84,$E$2:$E$200,"&lt;"&amp;$E84,$O$2:$O$200,"&gt;0")=0,"ÖDEMEDE","SIRADA")))</f>
        <v/>
      </c>
      <c r="Q84" s="8" t="n"/>
      <c r="R84" s="8" t="n"/>
      <c r="S84">
        <f>IF($D84="","",$A84&amp;"|"&amp;$P84)</f>
        <v/>
      </c>
    </row>
    <row r="85">
      <c r="A85" s="8" t="n"/>
      <c r="B85" s="9" t="n"/>
      <c r="C85" s="10" t="n"/>
      <c r="D85" s="8" t="n"/>
      <c r="E85" s="8" t="n"/>
      <c r="F85" s="8" t="n"/>
      <c r="G85" s="8" t="n"/>
      <c r="H85" s="11" t="n"/>
      <c r="I85" s="8" t="n"/>
      <c r="J85" s="8" t="n"/>
      <c r="K85" s="11" t="n"/>
      <c r="L85" s="11" t="n"/>
      <c r="M85" s="11">
        <f>IF($D85="","",SUMIFS('AYLIK KESİNTİLER'!$E$2:$E$5000,'AYLIK KESİNTİLER'!$A$2:$A$5000,$A85,'AYLIK KESİNTİLER'!$B$2:$B$5000,$D85))</f>
        <v/>
      </c>
      <c r="N85" s="11">
        <f>IF($D85="","",$L85+$M85)</f>
        <v/>
      </c>
      <c r="O85" s="11">
        <f>IF($D85="","",$H85-$N85)</f>
        <v/>
      </c>
      <c r="P85" s="12">
        <f>IF($D85="","",IF($O85&lt;=0,"KAPANDI",IF(COUNTIFS($A$2:$A$200,$A85,$E$2:$E$200,"&lt;"&amp;$E85,$O$2:$O$200,"&gt;0")=0,"ÖDEMEDE","SIRADA")))</f>
        <v/>
      </c>
      <c r="Q85" s="8" t="n"/>
      <c r="R85" s="8" t="n"/>
      <c r="S85">
        <f>IF($D85="","",$A85&amp;"|"&amp;$P85)</f>
        <v/>
      </c>
    </row>
    <row r="86">
      <c r="A86" s="8" t="n"/>
      <c r="B86" s="9" t="n"/>
      <c r="C86" s="10" t="n"/>
      <c r="D86" s="8" t="n"/>
      <c r="E86" s="8" t="n"/>
      <c r="F86" s="8" t="n"/>
      <c r="G86" s="8" t="n"/>
      <c r="H86" s="11" t="n"/>
      <c r="I86" s="8" t="n"/>
      <c r="J86" s="8" t="n"/>
      <c r="K86" s="11" t="n"/>
      <c r="L86" s="11" t="n"/>
      <c r="M86" s="11">
        <f>IF($D86="","",SUMIFS('AYLIK KESİNTİLER'!$E$2:$E$5000,'AYLIK KESİNTİLER'!$A$2:$A$5000,$A86,'AYLIK KESİNTİLER'!$B$2:$B$5000,$D86))</f>
        <v/>
      </c>
      <c r="N86" s="11">
        <f>IF($D86="","",$L86+$M86)</f>
        <v/>
      </c>
      <c r="O86" s="11">
        <f>IF($D86="","",$H86-$N86)</f>
        <v/>
      </c>
      <c r="P86" s="12">
        <f>IF($D86="","",IF($O86&lt;=0,"KAPANDI",IF(COUNTIFS($A$2:$A$200,$A86,$E$2:$E$200,"&lt;"&amp;$E86,$O$2:$O$200,"&gt;0")=0,"ÖDEMEDE","SIRADA")))</f>
        <v/>
      </c>
      <c r="Q86" s="8" t="n"/>
      <c r="R86" s="8" t="n"/>
      <c r="S86">
        <f>IF($D86="","",$A86&amp;"|"&amp;$P86)</f>
        <v/>
      </c>
    </row>
    <row r="87">
      <c r="A87" s="8" t="n"/>
      <c r="B87" s="9" t="n"/>
      <c r="C87" s="10" t="n"/>
      <c r="D87" s="8" t="n"/>
      <c r="E87" s="8" t="n"/>
      <c r="F87" s="8" t="n"/>
      <c r="G87" s="8" t="n"/>
      <c r="H87" s="11" t="n"/>
      <c r="I87" s="8" t="n"/>
      <c r="J87" s="8" t="n"/>
      <c r="K87" s="11" t="n"/>
      <c r="L87" s="11" t="n"/>
      <c r="M87" s="11">
        <f>IF($D87="","",SUMIFS('AYLIK KESİNTİLER'!$E$2:$E$5000,'AYLIK KESİNTİLER'!$A$2:$A$5000,$A87,'AYLIK KESİNTİLER'!$B$2:$B$5000,$D87))</f>
        <v/>
      </c>
      <c r="N87" s="11">
        <f>IF($D87="","",$L87+$M87)</f>
        <v/>
      </c>
      <c r="O87" s="11">
        <f>IF($D87="","",$H87-$N87)</f>
        <v/>
      </c>
      <c r="P87" s="12">
        <f>IF($D87="","",IF($O87&lt;=0,"KAPANDI",IF(COUNTIFS($A$2:$A$200,$A87,$E$2:$E$200,"&lt;"&amp;$E87,$O$2:$O$200,"&gt;0")=0,"ÖDEMEDE","SIRADA")))</f>
        <v/>
      </c>
      <c r="Q87" s="8" t="n"/>
      <c r="R87" s="8" t="n"/>
      <c r="S87">
        <f>IF($D87="","",$A87&amp;"|"&amp;$P87)</f>
        <v/>
      </c>
    </row>
    <row r="88">
      <c r="A88" s="8" t="n"/>
      <c r="B88" s="9" t="n"/>
      <c r="C88" s="10" t="n"/>
      <c r="D88" s="8" t="n"/>
      <c r="E88" s="8" t="n"/>
      <c r="F88" s="8" t="n"/>
      <c r="G88" s="8" t="n"/>
      <c r="H88" s="11" t="n"/>
      <c r="I88" s="8" t="n"/>
      <c r="J88" s="8" t="n"/>
      <c r="K88" s="11" t="n"/>
      <c r="L88" s="11" t="n"/>
      <c r="M88" s="11">
        <f>IF($D88="","",SUMIFS('AYLIK KESİNTİLER'!$E$2:$E$5000,'AYLIK KESİNTİLER'!$A$2:$A$5000,$A88,'AYLIK KESİNTİLER'!$B$2:$B$5000,$D88))</f>
        <v/>
      </c>
      <c r="N88" s="11">
        <f>IF($D88="","",$L88+$M88)</f>
        <v/>
      </c>
      <c r="O88" s="11">
        <f>IF($D88="","",$H88-$N88)</f>
        <v/>
      </c>
      <c r="P88" s="12">
        <f>IF($D88="","",IF($O88&lt;=0,"KAPANDI",IF(COUNTIFS($A$2:$A$200,$A88,$E$2:$E$200,"&lt;"&amp;$E88,$O$2:$O$200,"&gt;0")=0,"ÖDEMEDE","SIRADA")))</f>
        <v/>
      </c>
      <c r="Q88" s="8" t="n"/>
      <c r="R88" s="8" t="n"/>
      <c r="S88">
        <f>IF($D88="","",$A88&amp;"|"&amp;$P88)</f>
        <v/>
      </c>
    </row>
    <row r="89">
      <c r="A89" s="8" t="n"/>
      <c r="B89" s="9" t="n"/>
      <c r="C89" s="10" t="n"/>
      <c r="D89" s="8" t="n"/>
      <c r="E89" s="8" t="n"/>
      <c r="F89" s="8" t="n"/>
      <c r="G89" s="8" t="n"/>
      <c r="H89" s="11" t="n"/>
      <c r="I89" s="8" t="n"/>
      <c r="J89" s="8" t="n"/>
      <c r="K89" s="11" t="n"/>
      <c r="L89" s="11" t="n"/>
      <c r="M89" s="11">
        <f>IF($D89="","",SUMIFS('AYLIK KESİNTİLER'!$E$2:$E$5000,'AYLIK KESİNTİLER'!$A$2:$A$5000,$A89,'AYLIK KESİNTİLER'!$B$2:$B$5000,$D89))</f>
        <v/>
      </c>
      <c r="N89" s="11">
        <f>IF($D89="","",$L89+$M89)</f>
        <v/>
      </c>
      <c r="O89" s="11">
        <f>IF($D89="","",$H89-$N89)</f>
        <v/>
      </c>
      <c r="P89" s="12">
        <f>IF($D89="","",IF($O89&lt;=0,"KAPANDI",IF(COUNTIFS($A$2:$A$200,$A89,$E$2:$E$200,"&lt;"&amp;$E89,$O$2:$O$200,"&gt;0")=0,"ÖDEMEDE","SIRADA")))</f>
        <v/>
      </c>
      <c r="Q89" s="8" t="n"/>
      <c r="R89" s="8" t="n"/>
      <c r="S89">
        <f>IF($D89="","",$A89&amp;"|"&amp;$P89)</f>
        <v/>
      </c>
    </row>
    <row r="90">
      <c r="A90" s="8" t="n"/>
      <c r="B90" s="9" t="n"/>
      <c r="C90" s="10" t="n"/>
      <c r="D90" s="8" t="n"/>
      <c r="E90" s="8" t="n"/>
      <c r="F90" s="8" t="n"/>
      <c r="G90" s="8" t="n"/>
      <c r="H90" s="11" t="n"/>
      <c r="I90" s="8" t="n"/>
      <c r="J90" s="8" t="n"/>
      <c r="K90" s="11" t="n"/>
      <c r="L90" s="11" t="n"/>
      <c r="M90" s="11">
        <f>IF($D90="","",SUMIFS('AYLIK KESİNTİLER'!$E$2:$E$5000,'AYLIK KESİNTİLER'!$A$2:$A$5000,$A90,'AYLIK KESİNTİLER'!$B$2:$B$5000,$D90))</f>
        <v/>
      </c>
      <c r="N90" s="11">
        <f>IF($D90="","",$L90+$M90)</f>
        <v/>
      </c>
      <c r="O90" s="11">
        <f>IF($D90="","",$H90-$N90)</f>
        <v/>
      </c>
      <c r="P90" s="12">
        <f>IF($D90="","",IF($O90&lt;=0,"KAPANDI",IF(COUNTIFS($A$2:$A$200,$A90,$E$2:$E$200,"&lt;"&amp;$E90,$O$2:$O$200,"&gt;0")=0,"ÖDEMEDE","SIRADA")))</f>
        <v/>
      </c>
      <c r="Q90" s="8" t="n"/>
      <c r="R90" s="8" t="n"/>
      <c r="S90">
        <f>IF($D90="","",$A90&amp;"|"&amp;$P90)</f>
        <v/>
      </c>
    </row>
    <row r="91">
      <c r="A91" s="8" t="n"/>
      <c r="B91" s="9" t="n"/>
      <c r="C91" s="10" t="n"/>
      <c r="D91" s="8" t="n"/>
      <c r="E91" s="8" t="n"/>
      <c r="F91" s="8" t="n"/>
      <c r="G91" s="8" t="n"/>
      <c r="H91" s="11" t="n"/>
      <c r="I91" s="8" t="n"/>
      <c r="J91" s="8" t="n"/>
      <c r="K91" s="11" t="n"/>
      <c r="L91" s="11" t="n"/>
      <c r="M91" s="11">
        <f>IF($D91="","",SUMIFS('AYLIK KESİNTİLER'!$E$2:$E$5000,'AYLIK KESİNTİLER'!$A$2:$A$5000,$A91,'AYLIK KESİNTİLER'!$B$2:$B$5000,$D91))</f>
        <v/>
      </c>
      <c r="N91" s="11">
        <f>IF($D91="","",$L91+$M91)</f>
        <v/>
      </c>
      <c r="O91" s="11">
        <f>IF($D91="","",$H91-$N91)</f>
        <v/>
      </c>
      <c r="P91" s="12">
        <f>IF($D91="","",IF($O91&lt;=0,"KAPANDI",IF(COUNTIFS($A$2:$A$200,$A91,$E$2:$E$200,"&lt;"&amp;$E91,$O$2:$O$200,"&gt;0")=0,"ÖDEMEDE","SIRADA")))</f>
        <v/>
      </c>
      <c r="Q91" s="8" t="n"/>
      <c r="R91" s="8" t="n"/>
      <c r="S91">
        <f>IF($D91="","",$A91&amp;"|"&amp;$P91)</f>
        <v/>
      </c>
    </row>
    <row r="92">
      <c r="A92" s="8" t="n"/>
      <c r="B92" s="9" t="n"/>
      <c r="C92" s="10" t="n"/>
      <c r="D92" s="8" t="n"/>
      <c r="E92" s="8" t="n"/>
      <c r="F92" s="8" t="n"/>
      <c r="G92" s="8" t="n"/>
      <c r="H92" s="11" t="n"/>
      <c r="I92" s="8" t="n"/>
      <c r="J92" s="8" t="n"/>
      <c r="K92" s="11" t="n"/>
      <c r="L92" s="11" t="n"/>
      <c r="M92" s="11">
        <f>IF($D92="","",SUMIFS('AYLIK KESİNTİLER'!$E$2:$E$5000,'AYLIK KESİNTİLER'!$A$2:$A$5000,$A92,'AYLIK KESİNTİLER'!$B$2:$B$5000,$D92))</f>
        <v/>
      </c>
      <c r="N92" s="11">
        <f>IF($D92="","",$L92+$M92)</f>
        <v/>
      </c>
      <c r="O92" s="11">
        <f>IF($D92="","",$H92-$N92)</f>
        <v/>
      </c>
      <c r="P92" s="12">
        <f>IF($D92="","",IF($O92&lt;=0,"KAPANDI",IF(COUNTIFS($A$2:$A$200,$A92,$E$2:$E$200,"&lt;"&amp;$E92,$O$2:$O$200,"&gt;0")=0,"ÖDEMEDE","SIRADA")))</f>
        <v/>
      </c>
      <c r="Q92" s="8" t="n"/>
      <c r="R92" s="8" t="n"/>
      <c r="S92">
        <f>IF($D92="","",$A92&amp;"|"&amp;$P92)</f>
        <v/>
      </c>
    </row>
    <row r="93">
      <c r="A93" s="8" t="n"/>
      <c r="B93" s="9" t="n"/>
      <c r="C93" s="10" t="n"/>
      <c r="D93" s="8" t="n"/>
      <c r="E93" s="8" t="n"/>
      <c r="F93" s="8" t="n"/>
      <c r="G93" s="8" t="n"/>
      <c r="H93" s="11" t="n"/>
      <c r="I93" s="8" t="n"/>
      <c r="J93" s="8" t="n"/>
      <c r="K93" s="11" t="n"/>
      <c r="L93" s="11" t="n"/>
      <c r="M93" s="11">
        <f>IF($D93="","",SUMIFS('AYLIK KESİNTİLER'!$E$2:$E$5000,'AYLIK KESİNTİLER'!$A$2:$A$5000,$A93,'AYLIK KESİNTİLER'!$B$2:$B$5000,$D93))</f>
        <v/>
      </c>
      <c r="N93" s="11">
        <f>IF($D93="","",$L93+$M93)</f>
        <v/>
      </c>
      <c r="O93" s="11">
        <f>IF($D93="","",$H93-$N93)</f>
        <v/>
      </c>
      <c r="P93" s="12">
        <f>IF($D93="","",IF($O93&lt;=0,"KAPANDI",IF(COUNTIFS($A$2:$A$200,$A93,$E$2:$E$200,"&lt;"&amp;$E93,$O$2:$O$200,"&gt;0")=0,"ÖDEMEDE","SIRADA")))</f>
        <v/>
      </c>
      <c r="Q93" s="8" t="n"/>
      <c r="R93" s="8" t="n"/>
      <c r="S93">
        <f>IF($D93="","",$A93&amp;"|"&amp;$P93)</f>
        <v/>
      </c>
    </row>
    <row r="94">
      <c r="A94" s="8" t="n"/>
      <c r="B94" s="9" t="n"/>
      <c r="C94" s="10" t="n"/>
      <c r="D94" s="8" t="n"/>
      <c r="E94" s="8" t="n"/>
      <c r="F94" s="8" t="n"/>
      <c r="G94" s="8" t="n"/>
      <c r="H94" s="11" t="n"/>
      <c r="I94" s="8" t="n"/>
      <c r="J94" s="8" t="n"/>
      <c r="K94" s="11" t="n"/>
      <c r="L94" s="11" t="n"/>
      <c r="M94" s="11">
        <f>IF($D94="","",SUMIFS('AYLIK KESİNTİLER'!$E$2:$E$5000,'AYLIK KESİNTİLER'!$A$2:$A$5000,$A94,'AYLIK KESİNTİLER'!$B$2:$B$5000,$D94))</f>
        <v/>
      </c>
      <c r="N94" s="11">
        <f>IF($D94="","",$L94+$M94)</f>
        <v/>
      </c>
      <c r="O94" s="11">
        <f>IF($D94="","",$H94-$N94)</f>
        <v/>
      </c>
      <c r="P94" s="12">
        <f>IF($D94="","",IF($O94&lt;=0,"KAPANDI",IF(COUNTIFS($A$2:$A$200,$A94,$E$2:$E$200,"&lt;"&amp;$E94,$O$2:$O$200,"&gt;0")=0,"ÖDEMEDE","SIRADA")))</f>
        <v/>
      </c>
      <c r="Q94" s="8" t="n"/>
      <c r="R94" s="8" t="n"/>
      <c r="S94">
        <f>IF($D94="","",$A94&amp;"|"&amp;$P94)</f>
        <v/>
      </c>
    </row>
    <row r="95">
      <c r="A95" s="8" t="n"/>
      <c r="B95" s="9" t="n"/>
      <c r="C95" s="10" t="n"/>
      <c r="D95" s="8" t="n"/>
      <c r="E95" s="8" t="n"/>
      <c r="F95" s="8" t="n"/>
      <c r="G95" s="8" t="n"/>
      <c r="H95" s="11" t="n"/>
      <c r="I95" s="8" t="n"/>
      <c r="J95" s="8" t="n"/>
      <c r="K95" s="11" t="n"/>
      <c r="L95" s="11" t="n"/>
      <c r="M95" s="11">
        <f>IF($D95="","",SUMIFS('AYLIK KESİNTİLER'!$E$2:$E$5000,'AYLIK KESİNTİLER'!$A$2:$A$5000,$A95,'AYLIK KESİNTİLER'!$B$2:$B$5000,$D95))</f>
        <v/>
      </c>
      <c r="N95" s="11">
        <f>IF($D95="","",$L95+$M95)</f>
        <v/>
      </c>
      <c r="O95" s="11">
        <f>IF($D95="","",$H95-$N95)</f>
        <v/>
      </c>
      <c r="P95" s="12">
        <f>IF($D95="","",IF($O95&lt;=0,"KAPANDI",IF(COUNTIFS($A$2:$A$200,$A95,$E$2:$E$200,"&lt;"&amp;$E95,$O$2:$O$200,"&gt;0")=0,"ÖDEMEDE","SIRADA")))</f>
        <v/>
      </c>
      <c r="Q95" s="8" t="n"/>
      <c r="R95" s="8" t="n"/>
      <c r="S95">
        <f>IF($D95="","",$A95&amp;"|"&amp;$P95)</f>
        <v/>
      </c>
    </row>
    <row r="96">
      <c r="A96" s="8" t="n"/>
      <c r="B96" s="9" t="n"/>
      <c r="C96" s="10" t="n"/>
      <c r="D96" s="8" t="n"/>
      <c r="E96" s="8" t="n"/>
      <c r="F96" s="8" t="n"/>
      <c r="G96" s="8" t="n"/>
      <c r="H96" s="11" t="n"/>
      <c r="I96" s="8" t="n"/>
      <c r="J96" s="8" t="n"/>
      <c r="K96" s="11" t="n"/>
      <c r="L96" s="11" t="n"/>
      <c r="M96" s="11">
        <f>IF($D96="","",SUMIFS('AYLIK KESİNTİLER'!$E$2:$E$5000,'AYLIK KESİNTİLER'!$A$2:$A$5000,$A96,'AYLIK KESİNTİLER'!$B$2:$B$5000,$D96))</f>
        <v/>
      </c>
      <c r="N96" s="11">
        <f>IF($D96="","",$L96+$M96)</f>
        <v/>
      </c>
      <c r="O96" s="11">
        <f>IF($D96="","",$H96-$N96)</f>
        <v/>
      </c>
      <c r="P96" s="12">
        <f>IF($D96="","",IF($O96&lt;=0,"KAPANDI",IF(COUNTIFS($A$2:$A$200,$A96,$E$2:$E$200,"&lt;"&amp;$E96,$O$2:$O$200,"&gt;0")=0,"ÖDEMEDE","SIRADA")))</f>
        <v/>
      </c>
      <c r="Q96" s="8" t="n"/>
      <c r="R96" s="8" t="n"/>
      <c r="S96">
        <f>IF($D96="","",$A96&amp;"|"&amp;$P96)</f>
        <v/>
      </c>
    </row>
    <row r="97">
      <c r="A97" s="8" t="n"/>
      <c r="B97" s="9" t="n"/>
      <c r="C97" s="10" t="n"/>
      <c r="D97" s="8" t="n"/>
      <c r="E97" s="8" t="n"/>
      <c r="F97" s="8" t="n"/>
      <c r="G97" s="8" t="n"/>
      <c r="H97" s="11" t="n"/>
      <c r="I97" s="8" t="n"/>
      <c r="J97" s="8" t="n"/>
      <c r="K97" s="11" t="n"/>
      <c r="L97" s="11" t="n"/>
      <c r="M97" s="11">
        <f>IF($D97="","",SUMIFS('AYLIK KESİNTİLER'!$E$2:$E$5000,'AYLIK KESİNTİLER'!$A$2:$A$5000,$A97,'AYLIK KESİNTİLER'!$B$2:$B$5000,$D97))</f>
        <v/>
      </c>
      <c r="N97" s="11">
        <f>IF($D97="","",$L97+$M97)</f>
        <v/>
      </c>
      <c r="O97" s="11">
        <f>IF($D97="","",$H97-$N97)</f>
        <v/>
      </c>
      <c r="P97" s="12">
        <f>IF($D97="","",IF($O97&lt;=0,"KAPANDI",IF(COUNTIFS($A$2:$A$200,$A97,$E$2:$E$200,"&lt;"&amp;$E97,$O$2:$O$200,"&gt;0")=0,"ÖDEMEDE","SIRADA")))</f>
        <v/>
      </c>
      <c r="Q97" s="8" t="n"/>
      <c r="R97" s="8" t="n"/>
      <c r="S97">
        <f>IF($D97="","",$A97&amp;"|"&amp;$P97)</f>
        <v/>
      </c>
    </row>
    <row r="98">
      <c r="A98" s="8" t="n"/>
      <c r="B98" s="9" t="n"/>
      <c r="C98" s="10" t="n"/>
      <c r="D98" s="8" t="n"/>
      <c r="E98" s="8" t="n"/>
      <c r="F98" s="8" t="n"/>
      <c r="G98" s="8" t="n"/>
      <c r="H98" s="11" t="n"/>
      <c r="I98" s="8" t="n"/>
      <c r="J98" s="8" t="n"/>
      <c r="K98" s="11" t="n"/>
      <c r="L98" s="11" t="n"/>
      <c r="M98" s="11">
        <f>IF($D98="","",SUMIFS('AYLIK KESİNTİLER'!$E$2:$E$5000,'AYLIK KESİNTİLER'!$A$2:$A$5000,$A98,'AYLIK KESİNTİLER'!$B$2:$B$5000,$D98))</f>
        <v/>
      </c>
      <c r="N98" s="11">
        <f>IF($D98="","",$L98+$M98)</f>
        <v/>
      </c>
      <c r="O98" s="11">
        <f>IF($D98="","",$H98-$N98)</f>
        <v/>
      </c>
      <c r="P98" s="12">
        <f>IF($D98="","",IF($O98&lt;=0,"KAPANDI",IF(COUNTIFS($A$2:$A$200,$A98,$E$2:$E$200,"&lt;"&amp;$E98,$O$2:$O$200,"&gt;0")=0,"ÖDEMEDE","SIRADA")))</f>
        <v/>
      </c>
      <c r="Q98" s="8" t="n"/>
      <c r="R98" s="8" t="n"/>
      <c r="S98">
        <f>IF($D98="","",$A98&amp;"|"&amp;$P98)</f>
        <v/>
      </c>
    </row>
    <row r="99">
      <c r="A99" s="8" t="n"/>
      <c r="B99" s="9" t="n"/>
      <c r="C99" s="10" t="n"/>
      <c r="D99" s="8" t="n"/>
      <c r="E99" s="8" t="n"/>
      <c r="F99" s="8" t="n"/>
      <c r="G99" s="8" t="n"/>
      <c r="H99" s="11" t="n"/>
      <c r="I99" s="8" t="n"/>
      <c r="J99" s="8" t="n"/>
      <c r="K99" s="11" t="n"/>
      <c r="L99" s="11" t="n"/>
      <c r="M99" s="11">
        <f>IF($D99="","",SUMIFS('AYLIK KESİNTİLER'!$E$2:$E$5000,'AYLIK KESİNTİLER'!$A$2:$A$5000,$A99,'AYLIK KESİNTİLER'!$B$2:$B$5000,$D99))</f>
        <v/>
      </c>
      <c r="N99" s="11">
        <f>IF($D99="","",$L99+$M99)</f>
        <v/>
      </c>
      <c r="O99" s="11">
        <f>IF($D99="","",$H99-$N99)</f>
        <v/>
      </c>
      <c r="P99" s="12">
        <f>IF($D99="","",IF($O99&lt;=0,"KAPANDI",IF(COUNTIFS($A$2:$A$200,$A99,$E$2:$E$200,"&lt;"&amp;$E99,$O$2:$O$200,"&gt;0")=0,"ÖDEMEDE","SIRADA")))</f>
        <v/>
      </c>
      <c r="Q99" s="8" t="n"/>
      <c r="R99" s="8" t="n"/>
      <c r="S99">
        <f>IF($D99="","",$A99&amp;"|"&amp;$P99)</f>
        <v/>
      </c>
    </row>
    <row r="100">
      <c r="A100" s="8" t="n"/>
      <c r="B100" s="9" t="n"/>
      <c r="C100" s="10" t="n"/>
      <c r="D100" s="8" t="n"/>
      <c r="E100" s="8" t="n"/>
      <c r="F100" s="8" t="n"/>
      <c r="G100" s="8" t="n"/>
      <c r="H100" s="11" t="n"/>
      <c r="I100" s="8" t="n"/>
      <c r="J100" s="8" t="n"/>
      <c r="K100" s="11" t="n"/>
      <c r="L100" s="11" t="n"/>
      <c r="M100" s="11">
        <f>IF($D100="","",SUMIFS('AYLIK KESİNTİLER'!$E$2:$E$5000,'AYLIK KESİNTİLER'!$A$2:$A$5000,$A100,'AYLIK KESİNTİLER'!$B$2:$B$5000,$D100))</f>
        <v/>
      </c>
      <c r="N100" s="11">
        <f>IF($D100="","",$L100+$M100)</f>
        <v/>
      </c>
      <c r="O100" s="11">
        <f>IF($D100="","",$H100-$N100)</f>
        <v/>
      </c>
      <c r="P100" s="12">
        <f>IF($D100="","",IF($O100&lt;=0,"KAPANDI",IF(COUNTIFS($A$2:$A$200,$A100,$E$2:$E$200,"&lt;"&amp;$E100,$O$2:$O$200,"&gt;0")=0,"ÖDEMEDE","SIRADA")))</f>
        <v/>
      </c>
      <c r="Q100" s="8" t="n"/>
      <c r="R100" s="8" t="n"/>
      <c r="S100">
        <f>IF($D100="","",$A100&amp;"|"&amp;$P100)</f>
        <v/>
      </c>
    </row>
    <row r="101">
      <c r="A101" s="8" t="n"/>
      <c r="B101" s="9" t="n"/>
      <c r="C101" s="10" t="n"/>
      <c r="D101" s="8" t="n"/>
      <c r="E101" s="8" t="n"/>
      <c r="F101" s="8" t="n"/>
      <c r="G101" s="8" t="n"/>
      <c r="H101" s="11" t="n"/>
      <c r="I101" s="8" t="n"/>
      <c r="J101" s="8" t="n"/>
      <c r="K101" s="11" t="n"/>
      <c r="L101" s="11" t="n"/>
      <c r="M101" s="11">
        <f>IF($D101="","",SUMIFS('AYLIK KESİNTİLER'!$E$2:$E$5000,'AYLIK KESİNTİLER'!$A$2:$A$5000,$A101,'AYLIK KESİNTİLER'!$B$2:$B$5000,$D101))</f>
        <v/>
      </c>
      <c r="N101" s="11">
        <f>IF($D101="","",$L101+$M101)</f>
        <v/>
      </c>
      <c r="O101" s="11">
        <f>IF($D101="","",$H101-$N101)</f>
        <v/>
      </c>
      <c r="P101" s="12">
        <f>IF($D101="","",IF($O101&lt;=0,"KAPANDI",IF(COUNTIFS($A$2:$A$200,$A101,$E$2:$E$200,"&lt;"&amp;$E101,$O$2:$O$200,"&gt;0")=0,"ÖDEMEDE","SIRADA")))</f>
        <v/>
      </c>
      <c r="Q101" s="8" t="n"/>
      <c r="R101" s="8" t="n"/>
      <c r="S101">
        <f>IF($D101="","",$A101&amp;"|"&amp;$P101)</f>
        <v/>
      </c>
    </row>
    <row r="102">
      <c r="A102" s="8" t="n"/>
      <c r="B102" s="9" t="n"/>
      <c r="C102" s="10" t="n"/>
      <c r="D102" s="8" t="n"/>
      <c r="E102" s="8" t="n"/>
      <c r="F102" s="8" t="n"/>
      <c r="G102" s="8" t="n"/>
      <c r="H102" s="11" t="n"/>
      <c r="I102" s="8" t="n"/>
      <c r="J102" s="8" t="n"/>
      <c r="K102" s="11" t="n"/>
      <c r="L102" s="11" t="n"/>
      <c r="M102" s="11">
        <f>IF($D102="","",SUMIFS('AYLIK KESİNTİLER'!$E$2:$E$5000,'AYLIK KESİNTİLER'!$A$2:$A$5000,$A102,'AYLIK KESİNTİLER'!$B$2:$B$5000,$D102))</f>
        <v/>
      </c>
      <c r="N102" s="11">
        <f>IF($D102="","",$L102+$M102)</f>
        <v/>
      </c>
      <c r="O102" s="11">
        <f>IF($D102="","",$H102-$N102)</f>
        <v/>
      </c>
      <c r="P102" s="12">
        <f>IF($D102="","",IF($O102&lt;=0,"KAPANDI",IF(COUNTIFS($A$2:$A$200,$A102,$E$2:$E$200,"&lt;"&amp;$E102,$O$2:$O$200,"&gt;0")=0,"ÖDEMEDE","SIRADA")))</f>
        <v/>
      </c>
      <c r="Q102" s="8" t="n"/>
      <c r="R102" s="8" t="n"/>
      <c r="S102">
        <f>IF($D102="","",$A102&amp;"|"&amp;$P102)</f>
        <v/>
      </c>
    </row>
    <row r="103">
      <c r="A103" s="8" t="n"/>
      <c r="B103" s="9" t="n"/>
      <c r="C103" s="10" t="n"/>
      <c r="D103" s="8" t="n"/>
      <c r="E103" s="8" t="n"/>
      <c r="F103" s="8" t="n"/>
      <c r="G103" s="8" t="n"/>
      <c r="H103" s="11" t="n"/>
      <c r="I103" s="8" t="n"/>
      <c r="J103" s="8" t="n"/>
      <c r="K103" s="11" t="n"/>
      <c r="L103" s="11" t="n"/>
      <c r="M103" s="11">
        <f>IF($D103="","",SUMIFS('AYLIK KESİNTİLER'!$E$2:$E$5000,'AYLIK KESİNTİLER'!$A$2:$A$5000,$A103,'AYLIK KESİNTİLER'!$B$2:$B$5000,$D103))</f>
        <v/>
      </c>
      <c r="N103" s="11">
        <f>IF($D103="","",$L103+$M103)</f>
        <v/>
      </c>
      <c r="O103" s="11">
        <f>IF($D103="","",$H103-$N103)</f>
        <v/>
      </c>
      <c r="P103" s="12">
        <f>IF($D103="","",IF($O103&lt;=0,"KAPANDI",IF(COUNTIFS($A$2:$A$200,$A103,$E$2:$E$200,"&lt;"&amp;$E103,$O$2:$O$200,"&gt;0")=0,"ÖDEMEDE","SIRADA")))</f>
        <v/>
      </c>
      <c r="Q103" s="8" t="n"/>
      <c r="R103" s="8" t="n"/>
      <c r="S103">
        <f>IF($D103="","",$A103&amp;"|"&amp;$P103)</f>
        <v/>
      </c>
    </row>
    <row r="104">
      <c r="A104" s="8" t="n"/>
      <c r="B104" s="9" t="n"/>
      <c r="C104" s="10" t="n"/>
      <c r="D104" s="8" t="n"/>
      <c r="E104" s="8" t="n"/>
      <c r="F104" s="8" t="n"/>
      <c r="G104" s="8" t="n"/>
      <c r="H104" s="11" t="n"/>
      <c r="I104" s="8" t="n"/>
      <c r="J104" s="8" t="n"/>
      <c r="K104" s="11" t="n"/>
      <c r="L104" s="11" t="n"/>
      <c r="M104" s="11">
        <f>IF($D104="","",SUMIFS('AYLIK KESİNTİLER'!$E$2:$E$5000,'AYLIK KESİNTİLER'!$A$2:$A$5000,$A104,'AYLIK KESİNTİLER'!$B$2:$B$5000,$D104))</f>
        <v/>
      </c>
      <c r="N104" s="11">
        <f>IF($D104="","",$L104+$M104)</f>
        <v/>
      </c>
      <c r="O104" s="11">
        <f>IF($D104="","",$H104-$N104)</f>
        <v/>
      </c>
      <c r="P104" s="12">
        <f>IF($D104="","",IF($O104&lt;=0,"KAPANDI",IF(COUNTIFS($A$2:$A$200,$A104,$E$2:$E$200,"&lt;"&amp;$E104,$O$2:$O$200,"&gt;0")=0,"ÖDEMEDE","SIRADA")))</f>
        <v/>
      </c>
      <c r="Q104" s="8" t="n"/>
      <c r="R104" s="8" t="n"/>
      <c r="S104">
        <f>IF($D104="","",$A104&amp;"|"&amp;$P104)</f>
        <v/>
      </c>
    </row>
    <row r="105">
      <c r="A105" s="8" t="n"/>
      <c r="B105" s="9" t="n"/>
      <c r="C105" s="10" t="n"/>
      <c r="D105" s="8" t="n"/>
      <c r="E105" s="8" t="n"/>
      <c r="F105" s="8" t="n"/>
      <c r="G105" s="8" t="n"/>
      <c r="H105" s="11" t="n"/>
      <c r="I105" s="8" t="n"/>
      <c r="J105" s="8" t="n"/>
      <c r="K105" s="11" t="n"/>
      <c r="L105" s="11" t="n"/>
      <c r="M105" s="11">
        <f>IF($D105="","",SUMIFS('AYLIK KESİNTİLER'!$E$2:$E$5000,'AYLIK KESİNTİLER'!$A$2:$A$5000,$A105,'AYLIK KESİNTİLER'!$B$2:$B$5000,$D105))</f>
        <v/>
      </c>
      <c r="N105" s="11">
        <f>IF($D105="","",$L105+$M105)</f>
        <v/>
      </c>
      <c r="O105" s="11">
        <f>IF($D105="","",$H105-$N105)</f>
        <v/>
      </c>
      <c r="P105" s="12">
        <f>IF($D105="","",IF($O105&lt;=0,"KAPANDI",IF(COUNTIFS($A$2:$A$200,$A105,$E$2:$E$200,"&lt;"&amp;$E105,$O$2:$O$200,"&gt;0")=0,"ÖDEMEDE","SIRADA")))</f>
        <v/>
      </c>
      <c r="Q105" s="8" t="n"/>
      <c r="R105" s="8" t="n"/>
      <c r="S105">
        <f>IF($D105="","",$A105&amp;"|"&amp;$P105)</f>
        <v/>
      </c>
    </row>
    <row r="106">
      <c r="A106" s="8" t="n"/>
      <c r="B106" s="9" t="n"/>
      <c r="C106" s="10" t="n"/>
      <c r="D106" s="8" t="n"/>
      <c r="E106" s="8" t="n"/>
      <c r="F106" s="8" t="n"/>
      <c r="G106" s="8" t="n"/>
      <c r="H106" s="11" t="n"/>
      <c r="I106" s="8" t="n"/>
      <c r="J106" s="8" t="n"/>
      <c r="K106" s="11" t="n"/>
      <c r="L106" s="11" t="n"/>
      <c r="M106" s="11">
        <f>IF($D106="","",SUMIFS('AYLIK KESİNTİLER'!$E$2:$E$5000,'AYLIK KESİNTİLER'!$A$2:$A$5000,$A106,'AYLIK KESİNTİLER'!$B$2:$B$5000,$D106))</f>
        <v/>
      </c>
      <c r="N106" s="11">
        <f>IF($D106="","",$L106+$M106)</f>
        <v/>
      </c>
      <c r="O106" s="11">
        <f>IF($D106="","",$H106-$N106)</f>
        <v/>
      </c>
      <c r="P106" s="12">
        <f>IF($D106="","",IF($O106&lt;=0,"KAPANDI",IF(COUNTIFS($A$2:$A$200,$A106,$E$2:$E$200,"&lt;"&amp;$E106,$O$2:$O$200,"&gt;0")=0,"ÖDEMEDE","SIRADA")))</f>
        <v/>
      </c>
      <c r="Q106" s="8" t="n"/>
      <c r="R106" s="8" t="n"/>
      <c r="S106">
        <f>IF($D106="","",$A106&amp;"|"&amp;$P106)</f>
        <v/>
      </c>
    </row>
    <row r="107">
      <c r="A107" s="8" t="n"/>
      <c r="B107" s="9" t="n"/>
      <c r="C107" s="10" t="n"/>
      <c r="D107" s="8" t="n"/>
      <c r="E107" s="8" t="n"/>
      <c r="F107" s="8" t="n"/>
      <c r="G107" s="8" t="n"/>
      <c r="H107" s="11" t="n"/>
      <c r="I107" s="8" t="n"/>
      <c r="J107" s="8" t="n"/>
      <c r="K107" s="11" t="n"/>
      <c r="L107" s="11" t="n"/>
      <c r="M107" s="11">
        <f>IF($D107="","",SUMIFS('AYLIK KESİNTİLER'!$E$2:$E$5000,'AYLIK KESİNTİLER'!$A$2:$A$5000,$A107,'AYLIK KESİNTİLER'!$B$2:$B$5000,$D107))</f>
        <v/>
      </c>
      <c r="N107" s="11">
        <f>IF($D107="","",$L107+$M107)</f>
        <v/>
      </c>
      <c r="O107" s="11">
        <f>IF($D107="","",$H107-$N107)</f>
        <v/>
      </c>
      <c r="P107" s="12">
        <f>IF($D107="","",IF($O107&lt;=0,"KAPANDI",IF(COUNTIFS($A$2:$A$200,$A107,$E$2:$E$200,"&lt;"&amp;$E107,$O$2:$O$200,"&gt;0")=0,"ÖDEMEDE","SIRADA")))</f>
        <v/>
      </c>
      <c r="Q107" s="8" t="n"/>
      <c r="R107" s="8" t="n"/>
      <c r="S107">
        <f>IF($D107="","",$A107&amp;"|"&amp;$P107)</f>
        <v/>
      </c>
    </row>
    <row r="108">
      <c r="A108" s="8" t="n"/>
      <c r="B108" s="9" t="n"/>
      <c r="C108" s="10" t="n"/>
      <c r="D108" s="8" t="n"/>
      <c r="E108" s="8" t="n"/>
      <c r="F108" s="8" t="n"/>
      <c r="G108" s="8" t="n"/>
      <c r="H108" s="11" t="n"/>
      <c r="I108" s="8" t="n"/>
      <c r="J108" s="8" t="n"/>
      <c r="K108" s="11" t="n"/>
      <c r="L108" s="11" t="n"/>
      <c r="M108" s="11">
        <f>IF($D108="","",SUMIFS('AYLIK KESİNTİLER'!$E$2:$E$5000,'AYLIK KESİNTİLER'!$A$2:$A$5000,$A108,'AYLIK KESİNTİLER'!$B$2:$B$5000,$D108))</f>
        <v/>
      </c>
      <c r="N108" s="11">
        <f>IF($D108="","",$L108+$M108)</f>
        <v/>
      </c>
      <c r="O108" s="11">
        <f>IF($D108="","",$H108-$N108)</f>
        <v/>
      </c>
      <c r="P108" s="12">
        <f>IF($D108="","",IF($O108&lt;=0,"KAPANDI",IF(COUNTIFS($A$2:$A$200,$A108,$E$2:$E$200,"&lt;"&amp;$E108,$O$2:$O$200,"&gt;0")=0,"ÖDEMEDE","SIRADA")))</f>
        <v/>
      </c>
      <c r="Q108" s="8" t="n"/>
      <c r="R108" s="8" t="n"/>
      <c r="S108">
        <f>IF($D108="","",$A108&amp;"|"&amp;$P108)</f>
        <v/>
      </c>
    </row>
    <row r="109">
      <c r="A109" s="8" t="n"/>
      <c r="B109" s="9" t="n"/>
      <c r="C109" s="10" t="n"/>
      <c r="D109" s="8" t="n"/>
      <c r="E109" s="8" t="n"/>
      <c r="F109" s="8" t="n"/>
      <c r="G109" s="8" t="n"/>
      <c r="H109" s="11" t="n"/>
      <c r="I109" s="8" t="n"/>
      <c r="J109" s="8" t="n"/>
      <c r="K109" s="11" t="n"/>
      <c r="L109" s="11" t="n"/>
      <c r="M109" s="11">
        <f>IF($D109="","",SUMIFS('AYLIK KESİNTİLER'!$E$2:$E$5000,'AYLIK KESİNTİLER'!$A$2:$A$5000,$A109,'AYLIK KESİNTİLER'!$B$2:$B$5000,$D109))</f>
        <v/>
      </c>
      <c r="N109" s="11">
        <f>IF($D109="","",$L109+$M109)</f>
        <v/>
      </c>
      <c r="O109" s="11">
        <f>IF($D109="","",$H109-$N109)</f>
        <v/>
      </c>
      <c r="P109" s="12">
        <f>IF($D109="","",IF($O109&lt;=0,"KAPANDI",IF(COUNTIFS($A$2:$A$200,$A109,$E$2:$E$200,"&lt;"&amp;$E109,$O$2:$O$200,"&gt;0")=0,"ÖDEMEDE","SIRADA")))</f>
        <v/>
      </c>
      <c r="Q109" s="8" t="n"/>
      <c r="R109" s="8" t="n"/>
      <c r="S109">
        <f>IF($D109="","",$A109&amp;"|"&amp;$P109)</f>
        <v/>
      </c>
    </row>
    <row r="110">
      <c r="A110" s="8" t="n"/>
      <c r="B110" s="9" t="n"/>
      <c r="C110" s="10" t="n"/>
      <c r="D110" s="8" t="n"/>
      <c r="E110" s="8" t="n"/>
      <c r="F110" s="8" t="n"/>
      <c r="G110" s="8" t="n"/>
      <c r="H110" s="11" t="n"/>
      <c r="I110" s="8" t="n"/>
      <c r="J110" s="8" t="n"/>
      <c r="K110" s="11" t="n"/>
      <c r="L110" s="11" t="n"/>
      <c r="M110" s="11">
        <f>IF($D110="","",SUMIFS('AYLIK KESİNTİLER'!$E$2:$E$5000,'AYLIK KESİNTİLER'!$A$2:$A$5000,$A110,'AYLIK KESİNTİLER'!$B$2:$B$5000,$D110))</f>
        <v/>
      </c>
      <c r="N110" s="11">
        <f>IF($D110="","",$L110+$M110)</f>
        <v/>
      </c>
      <c r="O110" s="11">
        <f>IF($D110="","",$H110-$N110)</f>
        <v/>
      </c>
      <c r="P110" s="12">
        <f>IF($D110="","",IF($O110&lt;=0,"KAPANDI",IF(COUNTIFS($A$2:$A$200,$A110,$E$2:$E$200,"&lt;"&amp;$E110,$O$2:$O$200,"&gt;0")=0,"ÖDEMEDE","SIRADA")))</f>
        <v/>
      </c>
      <c r="Q110" s="8" t="n"/>
      <c r="R110" s="8" t="n"/>
      <c r="S110">
        <f>IF($D110="","",$A110&amp;"|"&amp;$P110)</f>
        <v/>
      </c>
    </row>
    <row r="111">
      <c r="A111" s="8" t="n"/>
      <c r="B111" s="9" t="n"/>
      <c r="C111" s="10" t="n"/>
      <c r="D111" s="8" t="n"/>
      <c r="E111" s="8" t="n"/>
      <c r="F111" s="8" t="n"/>
      <c r="G111" s="8" t="n"/>
      <c r="H111" s="11" t="n"/>
      <c r="I111" s="8" t="n"/>
      <c r="J111" s="8" t="n"/>
      <c r="K111" s="11" t="n"/>
      <c r="L111" s="11" t="n"/>
      <c r="M111" s="11">
        <f>IF($D111="","",SUMIFS('AYLIK KESİNTİLER'!$E$2:$E$5000,'AYLIK KESİNTİLER'!$A$2:$A$5000,$A111,'AYLIK KESİNTİLER'!$B$2:$B$5000,$D111))</f>
        <v/>
      </c>
      <c r="N111" s="11">
        <f>IF($D111="","",$L111+$M111)</f>
        <v/>
      </c>
      <c r="O111" s="11">
        <f>IF($D111="","",$H111-$N111)</f>
        <v/>
      </c>
      <c r="P111" s="12">
        <f>IF($D111="","",IF($O111&lt;=0,"KAPANDI",IF(COUNTIFS($A$2:$A$200,$A111,$E$2:$E$200,"&lt;"&amp;$E111,$O$2:$O$200,"&gt;0")=0,"ÖDEMEDE","SIRADA")))</f>
        <v/>
      </c>
      <c r="Q111" s="8" t="n"/>
      <c r="R111" s="8" t="n"/>
      <c r="S111">
        <f>IF($D111="","",$A111&amp;"|"&amp;$P111)</f>
        <v/>
      </c>
    </row>
    <row r="112">
      <c r="A112" s="8" t="n"/>
      <c r="B112" s="9" t="n"/>
      <c r="C112" s="10" t="n"/>
      <c r="D112" s="8" t="n"/>
      <c r="E112" s="8" t="n"/>
      <c r="F112" s="8" t="n"/>
      <c r="G112" s="8" t="n"/>
      <c r="H112" s="11" t="n"/>
      <c r="I112" s="8" t="n"/>
      <c r="J112" s="8" t="n"/>
      <c r="K112" s="11" t="n"/>
      <c r="L112" s="11" t="n"/>
      <c r="M112" s="11">
        <f>IF($D112="","",SUMIFS('AYLIK KESİNTİLER'!$E$2:$E$5000,'AYLIK KESİNTİLER'!$A$2:$A$5000,$A112,'AYLIK KESİNTİLER'!$B$2:$B$5000,$D112))</f>
        <v/>
      </c>
      <c r="N112" s="11">
        <f>IF($D112="","",$L112+$M112)</f>
        <v/>
      </c>
      <c r="O112" s="11">
        <f>IF($D112="","",$H112-$N112)</f>
        <v/>
      </c>
      <c r="P112" s="12">
        <f>IF($D112="","",IF($O112&lt;=0,"KAPANDI",IF(COUNTIFS($A$2:$A$200,$A112,$E$2:$E$200,"&lt;"&amp;$E112,$O$2:$O$200,"&gt;0")=0,"ÖDEMEDE","SIRADA")))</f>
        <v/>
      </c>
      <c r="Q112" s="8" t="n"/>
      <c r="R112" s="8" t="n"/>
      <c r="S112">
        <f>IF($D112="","",$A112&amp;"|"&amp;$P112)</f>
        <v/>
      </c>
    </row>
    <row r="113">
      <c r="A113" s="8" t="n"/>
      <c r="B113" s="9" t="n"/>
      <c r="C113" s="10" t="n"/>
      <c r="D113" s="8" t="n"/>
      <c r="E113" s="8" t="n"/>
      <c r="F113" s="8" t="n"/>
      <c r="G113" s="8" t="n"/>
      <c r="H113" s="11" t="n"/>
      <c r="I113" s="8" t="n"/>
      <c r="J113" s="8" t="n"/>
      <c r="K113" s="11" t="n"/>
      <c r="L113" s="11" t="n"/>
      <c r="M113" s="11">
        <f>IF($D113="","",SUMIFS('AYLIK KESİNTİLER'!$E$2:$E$5000,'AYLIK KESİNTİLER'!$A$2:$A$5000,$A113,'AYLIK KESİNTİLER'!$B$2:$B$5000,$D113))</f>
        <v/>
      </c>
      <c r="N113" s="11">
        <f>IF($D113="","",$L113+$M113)</f>
        <v/>
      </c>
      <c r="O113" s="11">
        <f>IF($D113="","",$H113-$N113)</f>
        <v/>
      </c>
      <c r="P113" s="12">
        <f>IF($D113="","",IF($O113&lt;=0,"KAPANDI",IF(COUNTIFS($A$2:$A$200,$A113,$E$2:$E$200,"&lt;"&amp;$E113,$O$2:$O$200,"&gt;0")=0,"ÖDEMEDE","SIRADA")))</f>
        <v/>
      </c>
      <c r="Q113" s="8" t="n"/>
      <c r="R113" s="8" t="n"/>
      <c r="S113">
        <f>IF($D113="","",$A113&amp;"|"&amp;$P113)</f>
        <v/>
      </c>
    </row>
    <row r="114">
      <c r="A114" s="8" t="n"/>
      <c r="B114" s="9" t="n"/>
      <c r="C114" s="10" t="n"/>
      <c r="D114" s="8" t="n"/>
      <c r="E114" s="8" t="n"/>
      <c r="F114" s="8" t="n"/>
      <c r="G114" s="8" t="n"/>
      <c r="H114" s="11" t="n"/>
      <c r="I114" s="8" t="n"/>
      <c r="J114" s="8" t="n"/>
      <c r="K114" s="11" t="n"/>
      <c r="L114" s="11" t="n"/>
      <c r="M114" s="11">
        <f>IF($D114="","",SUMIFS('AYLIK KESİNTİLER'!$E$2:$E$5000,'AYLIK KESİNTİLER'!$A$2:$A$5000,$A114,'AYLIK KESİNTİLER'!$B$2:$B$5000,$D114))</f>
        <v/>
      </c>
      <c r="N114" s="11">
        <f>IF($D114="","",$L114+$M114)</f>
        <v/>
      </c>
      <c r="O114" s="11">
        <f>IF($D114="","",$H114-$N114)</f>
        <v/>
      </c>
      <c r="P114" s="12">
        <f>IF($D114="","",IF($O114&lt;=0,"KAPANDI",IF(COUNTIFS($A$2:$A$200,$A114,$E$2:$E$200,"&lt;"&amp;$E114,$O$2:$O$200,"&gt;0")=0,"ÖDEMEDE","SIRADA")))</f>
        <v/>
      </c>
      <c r="Q114" s="8" t="n"/>
      <c r="R114" s="8" t="n"/>
      <c r="S114">
        <f>IF($D114="","",$A114&amp;"|"&amp;$P114)</f>
        <v/>
      </c>
    </row>
    <row r="115">
      <c r="A115" s="8" t="n"/>
      <c r="B115" s="9" t="n"/>
      <c r="C115" s="10" t="n"/>
      <c r="D115" s="8" t="n"/>
      <c r="E115" s="8" t="n"/>
      <c r="F115" s="8" t="n"/>
      <c r="G115" s="8" t="n"/>
      <c r="H115" s="11" t="n"/>
      <c r="I115" s="8" t="n"/>
      <c r="J115" s="8" t="n"/>
      <c r="K115" s="11" t="n"/>
      <c r="L115" s="11" t="n"/>
      <c r="M115" s="11">
        <f>IF($D115="","",SUMIFS('AYLIK KESİNTİLER'!$E$2:$E$5000,'AYLIK KESİNTİLER'!$A$2:$A$5000,$A115,'AYLIK KESİNTİLER'!$B$2:$B$5000,$D115))</f>
        <v/>
      </c>
      <c r="N115" s="11">
        <f>IF($D115="","",$L115+$M115)</f>
        <v/>
      </c>
      <c r="O115" s="11">
        <f>IF($D115="","",$H115-$N115)</f>
        <v/>
      </c>
      <c r="P115" s="12">
        <f>IF($D115="","",IF($O115&lt;=0,"KAPANDI",IF(COUNTIFS($A$2:$A$200,$A115,$E$2:$E$200,"&lt;"&amp;$E115,$O$2:$O$200,"&gt;0")=0,"ÖDEMEDE","SIRADA")))</f>
        <v/>
      </c>
      <c r="Q115" s="8" t="n"/>
      <c r="R115" s="8" t="n"/>
      <c r="S115">
        <f>IF($D115="","",$A115&amp;"|"&amp;$P115)</f>
        <v/>
      </c>
    </row>
    <row r="116">
      <c r="A116" s="8" t="n"/>
      <c r="B116" s="9" t="n"/>
      <c r="C116" s="10" t="n"/>
      <c r="D116" s="8" t="n"/>
      <c r="E116" s="8" t="n"/>
      <c r="F116" s="8" t="n"/>
      <c r="G116" s="8" t="n"/>
      <c r="H116" s="11" t="n"/>
      <c r="I116" s="8" t="n"/>
      <c r="J116" s="8" t="n"/>
      <c r="K116" s="11" t="n"/>
      <c r="L116" s="11" t="n"/>
      <c r="M116" s="11">
        <f>IF($D116="","",SUMIFS('AYLIK KESİNTİLER'!$E$2:$E$5000,'AYLIK KESİNTİLER'!$A$2:$A$5000,$A116,'AYLIK KESİNTİLER'!$B$2:$B$5000,$D116))</f>
        <v/>
      </c>
      <c r="N116" s="11">
        <f>IF($D116="","",$L116+$M116)</f>
        <v/>
      </c>
      <c r="O116" s="11">
        <f>IF($D116="","",$H116-$N116)</f>
        <v/>
      </c>
      <c r="P116" s="12">
        <f>IF($D116="","",IF($O116&lt;=0,"KAPANDI",IF(COUNTIFS($A$2:$A$200,$A116,$E$2:$E$200,"&lt;"&amp;$E116,$O$2:$O$200,"&gt;0")=0,"ÖDEMEDE","SIRADA")))</f>
        <v/>
      </c>
      <c r="Q116" s="8" t="n"/>
      <c r="R116" s="8" t="n"/>
      <c r="S116">
        <f>IF($D116="","",$A116&amp;"|"&amp;$P116)</f>
        <v/>
      </c>
    </row>
    <row r="117">
      <c r="A117" s="8" t="n"/>
      <c r="B117" s="9" t="n"/>
      <c r="C117" s="10" t="n"/>
      <c r="D117" s="8" t="n"/>
      <c r="E117" s="8" t="n"/>
      <c r="F117" s="8" t="n"/>
      <c r="G117" s="8" t="n"/>
      <c r="H117" s="11" t="n"/>
      <c r="I117" s="8" t="n"/>
      <c r="J117" s="8" t="n"/>
      <c r="K117" s="11" t="n"/>
      <c r="L117" s="11" t="n"/>
      <c r="M117" s="11">
        <f>IF($D117="","",SUMIFS('AYLIK KESİNTİLER'!$E$2:$E$5000,'AYLIK KESİNTİLER'!$A$2:$A$5000,$A117,'AYLIK KESİNTİLER'!$B$2:$B$5000,$D117))</f>
        <v/>
      </c>
      <c r="N117" s="11">
        <f>IF($D117="","",$L117+$M117)</f>
        <v/>
      </c>
      <c r="O117" s="11">
        <f>IF($D117="","",$H117-$N117)</f>
        <v/>
      </c>
      <c r="P117" s="12">
        <f>IF($D117="","",IF($O117&lt;=0,"KAPANDI",IF(COUNTIFS($A$2:$A$200,$A117,$E$2:$E$200,"&lt;"&amp;$E117,$O$2:$O$200,"&gt;0")=0,"ÖDEMEDE","SIRADA")))</f>
        <v/>
      </c>
      <c r="Q117" s="8" t="n"/>
      <c r="R117" s="8" t="n"/>
      <c r="S117">
        <f>IF($D117="","",$A117&amp;"|"&amp;$P117)</f>
        <v/>
      </c>
    </row>
    <row r="118">
      <c r="A118" s="8" t="n"/>
      <c r="B118" s="9" t="n"/>
      <c r="C118" s="10" t="n"/>
      <c r="D118" s="8" t="n"/>
      <c r="E118" s="8" t="n"/>
      <c r="F118" s="8" t="n"/>
      <c r="G118" s="8" t="n"/>
      <c r="H118" s="11" t="n"/>
      <c r="I118" s="8" t="n"/>
      <c r="J118" s="8" t="n"/>
      <c r="K118" s="11" t="n"/>
      <c r="L118" s="11" t="n"/>
      <c r="M118" s="11">
        <f>IF($D118="","",SUMIFS('AYLIK KESİNTİLER'!$E$2:$E$5000,'AYLIK KESİNTİLER'!$A$2:$A$5000,$A118,'AYLIK KESİNTİLER'!$B$2:$B$5000,$D118))</f>
        <v/>
      </c>
      <c r="N118" s="11">
        <f>IF($D118="","",$L118+$M118)</f>
        <v/>
      </c>
      <c r="O118" s="11">
        <f>IF($D118="","",$H118-$N118)</f>
        <v/>
      </c>
      <c r="P118" s="12">
        <f>IF($D118="","",IF($O118&lt;=0,"KAPANDI",IF(COUNTIFS($A$2:$A$200,$A118,$E$2:$E$200,"&lt;"&amp;$E118,$O$2:$O$200,"&gt;0")=0,"ÖDEMEDE","SIRADA")))</f>
        <v/>
      </c>
      <c r="Q118" s="8" t="n"/>
      <c r="R118" s="8" t="n"/>
      <c r="S118">
        <f>IF($D118="","",$A118&amp;"|"&amp;$P118)</f>
        <v/>
      </c>
    </row>
    <row r="119">
      <c r="A119" s="8" t="n"/>
      <c r="B119" s="9" t="n"/>
      <c r="C119" s="10" t="n"/>
      <c r="D119" s="8" t="n"/>
      <c r="E119" s="8" t="n"/>
      <c r="F119" s="8" t="n"/>
      <c r="G119" s="8" t="n"/>
      <c r="H119" s="11" t="n"/>
      <c r="I119" s="8" t="n"/>
      <c r="J119" s="8" t="n"/>
      <c r="K119" s="11" t="n"/>
      <c r="L119" s="11" t="n"/>
      <c r="M119" s="11">
        <f>IF($D119="","",SUMIFS('AYLIK KESİNTİLER'!$E$2:$E$5000,'AYLIK KESİNTİLER'!$A$2:$A$5000,$A119,'AYLIK KESİNTİLER'!$B$2:$B$5000,$D119))</f>
        <v/>
      </c>
      <c r="N119" s="11">
        <f>IF($D119="","",$L119+$M119)</f>
        <v/>
      </c>
      <c r="O119" s="11">
        <f>IF($D119="","",$H119-$N119)</f>
        <v/>
      </c>
      <c r="P119" s="12">
        <f>IF($D119="","",IF($O119&lt;=0,"KAPANDI",IF(COUNTIFS($A$2:$A$200,$A119,$E$2:$E$200,"&lt;"&amp;$E119,$O$2:$O$200,"&gt;0")=0,"ÖDEMEDE","SIRADA")))</f>
        <v/>
      </c>
      <c r="Q119" s="8" t="n"/>
      <c r="R119" s="8" t="n"/>
      <c r="S119">
        <f>IF($D119="","",$A119&amp;"|"&amp;$P119)</f>
        <v/>
      </c>
    </row>
    <row r="120">
      <c r="A120" s="8" t="n"/>
      <c r="B120" s="9" t="n"/>
      <c r="C120" s="10" t="n"/>
      <c r="D120" s="8" t="n"/>
      <c r="E120" s="8" t="n"/>
      <c r="F120" s="8" t="n"/>
      <c r="G120" s="8" t="n"/>
      <c r="H120" s="11" t="n"/>
      <c r="I120" s="8" t="n"/>
      <c r="J120" s="8" t="n"/>
      <c r="K120" s="11" t="n"/>
      <c r="L120" s="11" t="n"/>
      <c r="M120" s="11">
        <f>IF($D120="","",SUMIFS('AYLIK KESİNTİLER'!$E$2:$E$5000,'AYLIK KESİNTİLER'!$A$2:$A$5000,$A120,'AYLIK KESİNTİLER'!$B$2:$B$5000,$D120))</f>
        <v/>
      </c>
      <c r="N120" s="11">
        <f>IF($D120="","",$L120+$M120)</f>
        <v/>
      </c>
      <c r="O120" s="11">
        <f>IF($D120="","",$H120-$N120)</f>
        <v/>
      </c>
      <c r="P120" s="12">
        <f>IF($D120="","",IF($O120&lt;=0,"KAPANDI",IF(COUNTIFS($A$2:$A$200,$A120,$E$2:$E$200,"&lt;"&amp;$E120,$O$2:$O$200,"&gt;0")=0,"ÖDEMEDE","SIRADA")))</f>
        <v/>
      </c>
      <c r="Q120" s="8" t="n"/>
      <c r="R120" s="8" t="n"/>
      <c r="S120">
        <f>IF($D120="","",$A120&amp;"|"&amp;$P120)</f>
        <v/>
      </c>
    </row>
    <row r="121">
      <c r="A121" s="8" t="n"/>
      <c r="B121" s="9" t="n"/>
      <c r="C121" s="10" t="n"/>
      <c r="D121" s="8" t="n"/>
      <c r="E121" s="8" t="n"/>
      <c r="F121" s="8" t="n"/>
      <c r="G121" s="8" t="n"/>
      <c r="H121" s="11" t="n"/>
      <c r="I121" s="8" t="n"/>
      <c r="J121" s="8" t="n"/>
      <c r="K121" s="11" t="n"/>
      <c r="L121" s="11" t="n"/>
      <c r="M121" s="11">
        <f>IF($D121="","",SUMIFS('AYLIK KESİNTİLER'!$E$2:$E$5000,'AYLIK KESİNTİLER'!$A$2:$A$5000,$A121,'AYLIK KESİNTİLER'!$B$2:$B$5000,$D121))</f>
        <v/>
      </c>
      <c r="N121" s="11">
        <f>IF($D121="","",$L121+$M121)</f>
        <v/>
      </c>
      <c r="O121" s="11">
        <f>IF($D121="","",$H121-$N121)</f>
        <v/>
      </c>
      <c r="P121" s="12">
        <f>IF($D121="","",IF($O121&lt;=0,"KAPANDI",IF(COUNTIFS($A$2:$A$200,$A121,$E$2:$E$200,"&lt;"&amp;$E121,$O$2:$O$200,"&gt;0")=0,"ÖDEMEDE","SIRADA")))</f>
        <v/>
      </c>
      <c r="Q121" s="8" t="n"/>
      <c r="R121" s="8" t="n"/>
      <c r="S121">
        <f>IF($D121="","",$A121&amp;"|"&amp;$P121)</f>
        <v/>
      </c>
    </row>
    <row r="122">
      <c r="A122" s="8" t="n"/>
      <c r="B122" s="9" t="n"/>
      <c r="C122" s="10" t="n"/>
      <c r="D122" s="8" t="n"/>
      <c r="E122" s="8" t="n"/>
      <c r="F122" s="8" t="n"/>
      <c r="G122" s="8" t="n"/>
      <c r="H122" s="11" t="n"/>
      <c r="I122" s="8" t="n"/>
      <c r="J122" s="8" t="n"/>
      <c r="K122" s="11" t="n"/>
      <c r="L122" s="11" t="n"/>
      <c r="M122" s="11">
        <f>IF($D122="","",SUMIFS('AYLIK KESİNTİLER'!$E$2:$E$5000,'AYLIK KESİNTİLER'!$A$2:$A$5000,$A122,'AYLIK KESİNTİLER'!$B$2:$B$5000,$D122))</f>
        <v/>
      </c>
      <c r="N122" s="11">
        <f>IF($D122="","",$L122+$M122)</f>
        <v/>
      </c>
      <c r="O122" s="11">
        <f>IF($D122="","",$H122-$N122)</f>
        <v/>
      </c>
      <c r="P122" s="12">
        <f>IF($D122="","",IF($O122&lt;=0,"KAPANDI",IF(COUNTIFS($A$2:$A$200,$A122,$E$2:$E$200,"&lt;"&amp;$E122,$O$2:$O$200,"&gt;0")=0,"ÖDEMEDE","SIRADA")))</f>
        <v/>
      </c>
      <c r="Q122" s="8" t="n"/>
      <c r="R122" s="8" t="n"/>
      <c r="S122">
        <f>IF($D122="","",$A122&amp;"|"&amp;$P122)</f>
        <v/>
      </c>
    </row>
    <row r="123">
      <c r="A123" s="8" t="n"/>
      <c r="B123" s="9" t="n"/>
      <c r="C123" s="10" t="n"/>
      <c r="D123" s="8" t="n"/>
      <c r="E123" s="8" t="n"/>
      <c r="F123" s="8" t="n"/>
      <c r="G123" s="8" t="n"/>
      <c r="H123" s="11" t="n"/>
      <c r="I123" s="8" t="n"/>
      <c r="J123" s="8" t="n"/>
      <c r="K123" s="11" t="n"/>
      <c r="L123" s="11" t="n"/>
      <c r="M123" s="11">
        <f>IF($D123="","",SUMIFS('AYLIK KESİNTİLER'!$E$2:$E$5000,'AYLIK KESİNTİLER'!$A$2:$A$5000,$A123,'AYLIK KESİNTİLER'!$B$2:$B$5000,$D123))</f>
        <v/>
      </c>
      <c r="N123" s="11">
        <f>IF($D123="","",$L123+$M123)</f>
        <v/>
      </c>
      <c r="O123" s="11">
        <f>IF($D123="","",$H123-$N123)</f>
        <v/>
      </c>
      <c r="P123" s="12">
        <f>IF($D123="","",IF($O123&lt;=0,"KAPANDI",IF(COUNTIFS($A$2:$A$200,$A123,$E$2:$E$200,"&lt;"&amp;$E123,$O$2:$O$200,"&gt;0")=0,"ÖDEMEDE","SIRADA")))</f>
        <v/>
      </c>
      <c r="Q123" s="8" t="n"/>
      <c r="R123" s="8" t="n"/>
      <c r="S123">
        <f>IF($D123="","",$A123&amp;"|"&amp;$P123)</f>
        <v/>
      </c>
    </row>
    <row r="124">
      <c r="A124" s="8" t="n"/>
      <c r="B124" s="9" t="n"/>
      <c r="C124" s="10" t="n"/>
      <c r="D124" s="8" t="n"/>
      <c r="E124" s="8" t="n"/>
      <c r="F124" s="8" t="n"/>
      <c r="G124" s="8" t="n"/>
      <c r="H124" s="11" t="n"/>
      <c r="I124" s="8" t="n"/>
      <c r="J124" s="8" t="n"/>
      <c r="K124" s="11" t="n"/>
      <c r="L124" s="11" t="n"/>
      <c r="M124" s="11">
        <f>IF($D124="","",SUMIFS('AYLIK KESİNTİLER'!$E$2:$E$5000,'AYLIK KESİNTİLER'!$A$2:$A$5000,$A124,'AYLIK KESİNTİLER'!$B$2:$B$5000,$D124))</f>
        <v/>
      </c>
      <c r="N124" s="11">
        <f>IF($D124="","",$L124+$M124)</f>
        <v/>
      </c>
      <c r="O124" s="11">
        <f>IF($D124="","",$H124-$N124)</f>
        <v/>
      </c>
      <c r="P124" s="12">
        <f>IF($D124="","",IF($O124&lt;=0,"KAPANDI",IF(COUNTIFS($A$2:$A$200,$A124,$E$2:$E$200,"&lt;"&amp;$E124,$O$2:$O$200,"&gt;0")=0,"ÖDEMEDE","SIRADA")))</f>
        <v/>
      </c>
      <c r="Q124" s="8" t="n"/>
      <c r="R124" s="8" t="n"/>
      <c r="S124">
        <f>IF($D124="","",$A124&amp;"|"&amp;$P124)</f>
        <v/>
      </c>
    </row>
    <row r="125">
      <c r="A125" s="8" t="n"/>
      <c r="B125" s="9" t="n"/>
      <c r="C125" s="10" t="n"/>
      <c r="D125" s="8" t="n"/>
      <c r="E125" s="8" t="n"/>
      <c r="F125" s="8" t="n"/>
      <c r="G125" s="8" t="n"/>
      <c r="H125" s="11" t="n"/>
      <c r="I125" s="8" t="n"/>
      <c r="J125" s="8" t="n"/>
      <c r="K125" s="11" t="n"/>
      <c r="L125" s="11" t="n"/>
      <c r="M125" s="11">
        <f>IF($D125="","",SUMIFS('AYLIK KESİNTİLER'!$E$2:$E$5000,'AYLIK KESİNTİLER'!$A$2:$A$5000,$A125,'AYLIK KESİNTİLER'!$B$2:$B$5000,$D125))</f>
        <v/>
      </c>
      <c r="N125" s="11">
        <f>IF($D125="","",$L125+$M125)</f>
        <v/>
      </c>
      <c r="O125" s="11">
        <f>IF($D125="","",$H125-$N125)</f>
        <v/>
      </c>
      <c r="P125" s="12">
        <f>IF($D125="","",IF($O125&lt;=0,"KAPANDI",IF(COUNTIFS($A$2:$A$200,$A125,$E$2:$E$200,"&lt;"&amp;$E125,$O$2:$O$200,"&gt;0")=0,"ÖDEMEDE","SIRADA")))</f>
        <v/>
      </c>
      <c r="Q125" s="8" t="n"/>
      <c r="R125" s="8" t="n"/>
      <c r="S125">
        <f>IF($D125="","",$A125&amp;"|"&amp;$P125)</f>
        <v/>
      </c>
    </row>
    <row r="126">
      <c r="A126" s="8" t="n"/>
      <c r="B126" s="9" t="n"/>
      <c r="C126" s="10" t="n"/>
      <c r="D126" s="8" t="n"/>
      <c r="E126" s="8" t="n"/>
      <c r="F126" s="8" t="n"/>
      <c r="G126" s="8" t="n"/>
      <c r="H126" s="11" t="n"/>
      <c r="I126" s="8" t="n"/>
      <c r="J126" s="8" t="n"/>
      <c r="K126" s="11" t="n"/>
      <c r="L126" s="11" t="n"/>
      <c r="M126" s="11">
        <f>IF($D126="","",SUMIFS('AYLIK KESİNTİLER'!$E$2:$E$5000,'AYLIK KESİNTİLER'!$A$2:$A$5000,$A126,'AYLIK KESİNTİLER'!$B$2:$B$5000,$D126))</f>
        <v/>
      </c>
      <c r="N126" s="11">
        <f>IF($D126="","",$L126+$M126)</f>
        <v/>
      </c>
      <c r="O126" s="11">
        <f>IF($D126="","",$H126-$N126)</f>
        <v/>
      </c>
      <c r="P126" s="12">
        <f>IF($D126="","",IF($O126&lt;=0,"KAPANDI",IF(COUNTIFS($A$2:$A$200,$A126,$E$2:$E$200,"&lt;"&amp;$E126,$O$2:$O$200,"&gt;0")=0,"ÖDEMEDE","SIRADA")))</f>
        <v/>
      </c>
      <c r="Q126" s="8" t="n"/>
      <c r="R126" s="8" t="n"/>
      <c r="S126">
        <f>IF($D126="","",$A126&amp;"|"&amp;$P126)</f>
        <v/>
      </c>
    </row>
    <row r="127">
      <c r="A127" s="8" t="n"/>
      <c r="B127" s="9" t="n"/>
      <c r="C127" s="10" t="n"/>
      <c r="D127" s="8" t="n"/>
      <c r="E127" s="8" t="n"/>
      <c r="F127" s="8" t="n"/>
      <c r="G127" s="8" t="n"/>
      <c r="H127" s="11" t="n"/>
      <c r="I127" s="8" t="n"/>
      <c r="J127" s="8" t="n"/>
      <c r="K127" s="11" t="n"/>
      <c r="L127" s="11" t="n"/>
      <c r="M127" s="11">
        <f>IF($D127="","",SUMIFS('AYLIK KESİNTİLER'!$E$2:$E$5000,'AYLIK KESİNTİLER'!$A$2:$A$5000,$A127,'AYLIK KESİNTİLER'!$B$2:$B$5000,$D127))</f>
        <v/>
      </c>
      <c r="N127" s="11">
        <f>IF($D127="","",$L127+$M127)</f>
        <v/>
      </c>
      <c r="O127" s="11">
        <f>IF($D127="","",$H127-$N127)</f>
        <v/>
      </c>
      <c r="P127" s="12">
        <f>IF($D127="","",IF($O127&lt;=0,"KAPANDI",IF(COUNTIFS($A$2:$A$200,$A127,$E$2:$E$200,"&lt;"&amp;$E127,$O$2:$O$200,"&gt;0")=0,"ÖDEMEDE","SIRADA")))</f>
        <v/>
      </c>
      <c r="Q127" s="8" t="n"/>
      <c r="R127" s="8" t="n"/>
      <c r="S127">
        <f>IF($D127="","",$A127&amp;"|"&amp;$P127)</f>
        <v/>
      </c>
    </row>
    <row r="128">
      <c r="A128" s="8" t="n"/>
      <c r="B128" s="9" t="n"/>
      <c r="C128" s="10" t="n"/>
      <c r="D128" s="8" t="n"/>
      <c r="E128" s="8" t="n"/>
      <c r="F128" s="8" t="n"/>
      <c r="G128" s="8" t="n"/>
      <c r="H128" s="11" t="n"/>
      <c r="I128" s="8" t="n"/>
      <c r="J128" s="8" t="n"/>
      <c r="K128" s="11" t="n"/>
      <c r="L128" s="11" t="n"/>
      <c r="M128" s="11">
        <f>IF($D128="","",SUMIFS('AYLIK KESİNTİLER'!$E$2:$E$5000,'AYLIK KESİNTİLER'!$A$2:$A$5000,$A128,'AYLIK KESİNTİLER'!$B$2:$B$5000,$D128))</f>
        <v/>
      </c>
      <c r="N128" s="11">
        <f>IF($D128="","",$L128+$M128)</f>
        <v/>
      </c>
      <c r="O128" s="11">
        <f>IF($D128="","",$H128-$N128)</f>
        <v/>
      </c>
      <c r="P128" s="12">
        <f>IF($D128="","",IF($O128&lt;=0,"KAPANDI",IF(COUNTIFS($A$2:$A$200,$A128,$E$2:$E$200,"&lt;"&amp;$E128,$O$2:$O$200,"&gt;0")=0,"ÖDEMEDE","SIRADA")))</f>
        <v/>
      </c>
      <c r="Q128" s="8" t="n"/>
      <c r="R128" s="8" t="n"/>
      <c r="S128">
        <f>IF($D128="","",$A128&amp;"|"&amp;$P128)</f>
        <v/>
      </c>
    </row>
    <row r="129">
      <c r="A129" s="8" t="n"/>
      <c r="B129" s="9" t="n"/>
      <c r="C129" s="10" t="n"/>
      <c r="D129" s="8" t="n"/>
      <c r="E129" s="8" t="n"/>
      <c r="F129" s="8" t="n"/>
      <c r="G129" s="8" t="n"/>
      <c r="H129" s="11" t="n"/>
      <c r="I129" s="8" t="n"/>
      <c r="J129" s="8" t="n"/>
      <c r="K129" s="11" t="n"/>
      <c r="L129" s="11" t="n"/>
      <c r="M129" s="11">
        <f>IF($D129="","",SUMIFS('AYLIK KESİNTİLER'!$E$2:$E$5000,'AYLIK KESİNTİLER'!$A$2:$A$5000,$A129,'AYLIK KESİNTİLER'!$B$2:$B$5000,$D129))</f>
        <v/>
      </c>
      <c r="N129" s="11">
        <f>IF($D129="","",$L129+$M129)</f>
        <v/>
      </c>
      <c r="O129" s="11">
        <f>IF($D129="","",$H129-$N129)</f>
        <v/>
      </c>
      <c r="P129" s="12">
        <f>IF($D129="","",IF($O129&lt;=0,"KAPANDI",IF(COUNTIFS($A$2:$A$200,$A129,$E$2:$E$200,"&lt;"&amp;$E129,$O$2:$O$200,"&gt;0")=0,"ÖDEMEDE","SIRADA")))</f>
        <v/>
      </c>
      <c r="Q129" s="8" t="n"/>
      <c r="R129" s="8" t="n"/>
      <c r="S129">
        <f>IF($D129="","",$A129&amp;"|"&amp;$P129)</f>
        <v/>
      </c>
    </row>
    <row r="130">
      <c r="A130" s="8" t="n"/>
      <c r="B130" s="9" t="n"/>
      <c r="C130" s="10" t="n"/>
      <c r="D130" s="8" t="n"/>
      <c r="E130" s="8" t="n"/>
      <c r="F130" s="8" t="n"/>
      <c r="G130" s="8" t="n"/>
      <c r="H130" s="11" t="n"/>
      <c r="I130" s="8" t="n"/>
      <c r="J130" s="8" t="n"/>
      <c r="K130" s="11" t="n"/>
      <c r="L130" s="11" t="n"/>
      <c r="M130" s="11">
        <f>IF($D130="","",SUMIFS('AYLIK KESİNTİLER'!$E$2:$E$5000,'AYLIK KESİNTİLER'!$A$2:$A$5000,$A130,'AYLIK KESİNTİLER'!$B$2:$B$5000,$D130))</f>
        <v/>
      </c>
      <c r="N130" s="11">
        <f>IF($D130="","",$L130+$M130)</f>
        <v/>
      </c>
      <c r="O130" s="11">
        <f>IF($D130="","",$H130-$N130)</f>
        <v/>
      </c>
      <c r="P130" s="12">
        <f>IF($D130="","",IF($O130&lt;=0,"KAPANDI",IF(COUNTIFS($A$2:$A$200,$A130,$E$2:$E$200,"&lt;"&amp;$E130,$O$2:$O$200,"&gt;0")=0,"ÖDEMEDE","SIRADA")))</f>
        <v/>
      </c>
      <c r="Q130" s="8" t="n"/>
      <c r="R130" s="8" t="n"/>
      <c r="S130">
        <f>IF($D130="","",$A130&amp;"|"&amp;$P130)</f>
        <v/>
      </c>
    </row>
    <row r="131">
      <c r="A131" s="8" t="n"/>
      <c r="B131" s="9" t="n"/>
      <c r="C131" s="10" t="n"/>
      <c r="D131" s="8" t="n"/>
      <c r="E131" s="8" t="n"/>
      <c r="F131" s="8" t="n"/>
      <c r="G131" s="8" t="n"/>
      <c r="H131" s="11" t="n"/>
      <c r="I131" s="8" t="n"/>
      <c r="J131" s="8" t="n"/>
      <c r="K131" s="11" t="n"/>
      <c r="L131" s="11" t="n"/>
      <c r="M131" s="11">
        <f>IF($D131="","",SUMIFS('AYLIK KESİNTİLER'!$E$2:$E$5000,'AYLIK KESİNTİLER'!$A$2:$A$5000,$A131,'AYLIK KESİNTİLER'!$B$2:$B$5000,$D131))</f>
        <v/>
      </c>
      <c r="N131" s="11">
        <f>IF($D131="","",$L131+$M131)</f>
        <v/>
      </c>
      <c r="O131" s="11">
        <f>IF($D131="","",$H131-$N131)</f>
        <v/>
      </c>
      <c r="P131" s="12">
        <f>IF($D131="","",IF($O131&lt;=0,"KAPANDI",IF(COUNTIFS($A$2:$A$200,$A131,$E$2:$E$200,"&lt;"&amp;$E131,$O$2:$O$200,"&gt;0")=0,"ÖDEMEDE","SIRADA")))</f>
        <v/>
      </c>
      <c r="Q131" s="8" t="n"/>
      <c r="R131" s="8" t="n"/>
      <c r="S131">
        <f>IF($D131="","",$A131&amp;"|"&amp;$P131)</f>
        <v/>
      </c>
    </row>
    <row r="132">
      <c r="A132" s="8" t="n"/>
      <c r="B132" s="9" t="n"/>
      <c r="C132" s="10" t="n"/>
      <c r="D132" s="8" t="n"/>
      <c r="E132" s="8" t="n"/>
      <c r="F132" s="8" t="n"/>
      <c r="G132" s="8" t="n"/>
      <c r="H132" s="11" t="n"/>
      <c r="I132" s="8" t="n"/>
      <c r="J132" s="8" t="n"/>
      <c r="K132" s="11" t="n"/>
      <c r="L132" s="11" t="n"/>
      <c r="M132" s="11">
        <f>IF($D132="","",SUMIFS('AYLIK KESİNTİLER'!$E$2:$E$5000,'AYLIK KESİNTİLER'!$A$2:$A$5000,$A132,'AYLIK KESİNTİLER'!$B$2:$B$5000,$D132))</f>
        <v/>
      </c>
      <c r="N132" s="11">
        <f>IF($D132="","",$L132+$M132)</f>
        <v/>
      </c>
      <c r="O132" s="11">
        <f>IF($D132="","",$H132-$N132)</f>
        <v/>
      </c>
      <c r="P132" s="12">
        <f>IF($D132="","",IF($O132&lt;=0,"KAPANDI",IF(COUNTIFS($A$2:$A$200,$A132,$E$2:$E$200,"&lt;"&amp;$E132,$O$2:$O$200,"&gt;0")=0,"ÖDEMEDE","SIRADA")))</f>
        <v/>
      </c>
      <c r="Q132" s="8" t="n"/>
      <c r="R132" s="8" t="n"/>
      <c r="S132">
        <f>IF($D132="","",$A132&amp;"|"&amp;$P132)</f>
        <v/>
      </c>
    </row>
    <row r="133">
      <c r="A133" s="8" t="n"/>
      <c r="B133" s="9" t="n"/>
      <c r="C133" s="10" t="n"/>
      <c r="D133" s="8" t="n"/>
      <c r="E133" s="8" t="n"/>
      <c r="F133" s="8" t="n"/>
      <c r="G133" s="8" t="n"/>
      <c r="H133" s="11" t="n"/>
      <c r="I133" s="8" t="n"/>
      <c r="J133" s="8" t="n"/>
      <c r="K133" s="11" t="n"/>
      <c r="L133" s="11" t="n"/>
      <c r="M133" s="11">
        <f>IF($D133="","",SUMIFS('AYLIK KESİNTİLER'!$E$2:$E$5000,'AYLIK KESİNTİLER'!$A$2:$A$5000,$A133,'AYLIK KESİNTİLER'!$B$2:$B$5000,$D133))</f>
        <v/>
      </c>
      <c r="N133" s="11">
        <f>IF($D133="","",$L133+$M133)</f>
        <v/>
      </c>
      <c r="O133" s="11">
        <f>IF($D133="","",$H133-$N133)</f>
        <v/>
      </c>
      <c r="P133" s="12">
        <f>IF($D133="","",IF($O133&lt;=0,"KAPANDI",IF(COUNTIFS($A$2:$A$200,$A133,$E$2:$E$200,"&lt;"&amp;$E133,$O$2:$O$200,"&gt;0")=0,"ÖDEMEDE","SIRADA")))</f>
        <v/>
      </c>
      <c r="Q133" s="8" t="n"/>
      <c r="R133" s="8" t="n"/>
      <c r="S133">
        <f>IF($D133="","",$A133&amp;"|"&amp;$P133)</f>
        <v/>
      </c>
    </row>
    <row r="134">
      <c r="A134" s="8" t="n"/>
      <c r="B134" s="9" t="n"/>
      <c r="C134" s="10" t="n"/>
      <c r="D134" s="8" t="n"/>
      <c r="E134" s="8" t="n"/>
      <c r="F134" s="8" t="n"/>
      <c r="G134" s="8" t="n"/>
      <c r="H134" s="11" t="n"/>
      <c r="I134" s="8" t="n"/>
      <c r="J134" s="8" t="n"/>
      <c r="K134" s="11" t="n"/>
      <c r="L134" s="11" t="n"/>
      <c r="M134" s="11">
        <f>IF($D134="","",SUMIFS('AYLIK KESİNTİLER'!$E$2:$E$5000,'AYLIK KESİNTİLER'!$A$2:$A$5000,$A134,'AYLIK KESİNTİLER'!$B$2:$B$5000,$D134))</f>
        <v/>
      </c>
      <c r="N134" s="11">
        <f>IF($D134="","",$L134+$M134)</f>
        <v/>
      </c>
      <c r="O134" s="11">
        <f>IF($D134="","",$H134-$N134)</f>
        <v/>
      </c>
      <c r="P134" s="12">
        <f>IF($D134="","",IF($O134&lt;=0,"KAPANDI",IF(COUNTIFS($A$2:$A$200,$A134,$E$2:$E$200,"&lt;"&amp;$E134,$O$2:$O$200,"&gt;0")=0,"ÖDEMEDE","SIRADA")))</f>
        <v/>
      </c>
      <c r="Q134" s="8" t="n"/>
      <c r="R134" s="8" t="n"/>
      <c r="S134">
        <f>IF($D134="","",$A134&amp;"|"&amp;$P134)</f>
        <v/>
      </c>
    </row>
    <row r="135">
      <c r="A135" s="8" t="n"/>
      <c r="B135" s="9" t="n"/>
      <c r="C135" s="10" t="n"/>
      <c r="D135" s="8" t="n"/>
      <c r="E135" s="8" t="n"/>
      <c r="F135" s="8" t="n"/>
      <c r="G135" s="8" t="n"/>
      <c r="H135" s="11" t="n"/>
      <c r="I135" s="8" t="n"/>
      <c r="J135" s="8" t="n"/>
      <c r="K135" s="11" t="n"/>
      <c r="L135" s="11" t="n"/>
      <c r="M135" s="11">
        <f>IF($D135="","",SUMIFS('AYLIK KESİNTİLER'!$E$2:$E$5000,'AYLIK KESİNTİLER'!$A$2:$A$5000,$A135,'AYLIK KESİNTİLER'!$B$2:$B$5000,$D135))</f>
        <v/>
      </c>
      <c r="N135" s="11">
        <f>IF($D135="","",$L135+$M135)</f>
        <v/>
      </c>
      <c r="O135" s="11">
        <f>IF($D135="","",$H135-$N135)</f>
        <v/>
      </c>
      <c r="P135" s="12">
        <f>IF($D135="","",IF($O135&lt;=0,"KAPANDI",IF(COUNTIFS($A$2:$A$200,$A135,$E$2:$E$200,"&lt;"&amp;$E135,$O$2:$O$200,"&gt;0")=0,"ÖDEMEDE","SIRADA")))</f>
        <v/>
      </c>
      <c r="Q135" s="8" t="n"/>
      <c r="R135" s="8" t="n"/>
      <c r="S135">
        <f>IF($D135="","",$A135&amp;"|"&amp;$P135)</f>
        <v/>
      </c>
    </row>
    <row r="136">
      <c r="A136" s="8" t="n"/>
      <c r="B136" s="9" t="n"/>
      <c r="C136" s="10" t="n"/>
      <c r="D136" s="8" t="n"/>
      <c r="E136" s="8" t="n"/>
      <c r="F136" s="8" t="n"/>
      <c r="G136" s="8" t="n"/>
      <c r="H136" s="11" t="n"/>
      <c r="I136" s="8" t="n"/>
      <c r="J136" s="8" t="n"/>
      <c r="K136" s="11" t="n"/>
      <c r="L136" s="11" t="n"/>
      <c r="M136" s="11">
        <f>IF($D136="","",SUMIFS('AYLIK KESİNTİLER'!$E$2:$E$5000,'AYLIK KESİNTİLER'!$A$2:$A$5000,$A136,'AYLIK KESİNTİLER'!$B$2:$B$5000,$D136))</f>
        <v/>
      </c>
      <c r="N136" s="11">
        <f>IF($D136="","",$L136+$M136)</f>
        <v/>
      </c>
      <c r="O136" s="11">
        <f>IF($D136="","",$H136-$N136)</f>
        <v/>
      </c>
      <c r="P136" s="12">
        <f>IF($D136="","",IF($O136&lt;=0,"KAPANDI",IF(COUNTIFS($A$2:$A$200,$A136,$E$2:$E$200,"&lt;"&amp;$E136,$O$2:$O$200,"&gt;0")=0,"ÖDEMEDE","SIRADA")))</f>
        <v/>
      </c>
      <c r="Q136" s="8" t="n"/>
      <c r="R136" s="8" t="n"/>
      <c r="S136">
        <f>IF($D136="","",$A136&amp;"|"&amp;$P136)</f>
        <v/>
      </c>
    </row>
    <row r="137">
      <c r="A137" s="8" t="n"/>
      <c r="B137" s="9" t="n"/>
      <c r="C137" s="10" t="n"/>
      <c r="D137" s="8" t="n"/>
      <c r="E137" s="8" t="n"/>
      <c r="F137" s="8" t="n"/>
      <c r="G137" s="8" t="n"/>
      <c r="H137" s="11" t="n"/>
      <c r="I137" s="8" t="n"/>
      <c r="J137" s="8" t="n"/>
      <c r="K137" s="11" t="n"/>
      <c r="L137" s="11" t="n"/>
      <c r="M137" s="11">
        <f>IF($D137="","",SUMIFS('AYLIK KESİNTİLER'!$E$2:$E$5000,'AYLIK KESİNTİLER'!$A$2:$A$5000,$A137,'AYLIK KESİNTİLER'!$B$2:$B$5000,$D137))</f>
        <v/>
      </c>
      <c r="N137" s="11">
        <f>IF($D137="","",$L137+$M137)</f>
        <v/>
      </c>
      <c r="O137" s="11">
        <f>IF($D137="","",$H137-$N137)</f>
        <v/>
      </c>
      <c r="P137" s="12">
        <f>IF($D137="","",IF($O137&lt;=0,"KAPANDI",IF(COUNTIFS($A$2:$A$200,$A137,$E$2:$E$200,"&lt;"&amp;$E137,$O$2:$O$200,"&gt;0")=0,"ÖDEMEDE","SIRADA")))</f>
        <v/>
      </c>
      <c r="Q137" s="8" t="n"/>
      <c r="R137" s="8" t="n"/>
      <c r="S137">
        <f>IF($D137="","",$A137&amp;"|"&amp;$P137)</f>
        <v/>
      </c>
    </row>
    <row r="138">
      <c r="A138" s="8" t="n"/>
      <c r="B138" s="9" t="n"/>
      <c r="C138" s="10" t="n"/>
      <c r="D138" s="8" t="n"/>
      <c r="E138" s="8" t="n"/>
      <c r="F138" s="8" t="n"/>
      <c r="G138" s="8" t="n"/>
      <c r="H138" s="11" t="n"/>
      <c r="I138" s="8" t="n"/>
      <c r="J138" s="8" t="n"/>
      <c r="K138" s="11" t="n"/>
      <c r="L138" s="11" t="n"/>
      <c r="M138" s="11">
        <f>IF($D138="","",SUMIFS('AYLIK KESİNTİLER'!$E$2:$E$5000,'AYLIK KESİNTİLER'!$A$2:$A$5000,$A138,'AYLIK KESİNTİLER'!$B$2:$B$5000,$D138))</f>
        <v/>
      </c>
      <c r="N138" s="11">
        <f>IF($D138="","",$L138+$M138)</f>
        <v/>
      </c>
      <c r="O138" s="11">
        <f>IF($D138="","",$H138-$N138)</f>
        <v/>
      </c>
      <c r="P138" s="12">
        <f>IF($D138="","",IF($O138&lt;=0,"KAPANDI",IF(COUNTIFS($A$2:$A$200,$A138,$E$2:$E$200,"&lt;"&amp;$E138,$O$2:$O$200,"&gt;0")=0,"ÖDEMEDE","SIRADA")))</f>
        <v/>
      </c>
      <c r="Q138" s="8" t="n"/>
      <c r="R138" s="8" t="n"/>
      <c r="S138">
        <f>IF($D138="","",$A138&amp;"|"&amp;$P138)</f>
        <v/>
      </c>
    </row>
    <row r="139">
      <c r="A139" s="8" t="n"/>
      <c r="B139" s="9" t="n"/>
      <c r="C139" s="10" t="n"/>
      <c r="D139" s="8" t="n"/>
      <c r="E139" s="8" t="n"/>
      <c r="F139" s="8" t="n"/>
      <c r="G139" s="8" t="n"/>
      <c r="H139" s="11" t="n"/>
      <c r="I139" s="8" t="n"/>
      <c r="J139" s="8" t="n"/>
      <c r="K139" s="11" t="n"/>
      <c r="L139" s="11" t="n"/>
      <c r="M139" s="11">
        <f>IF($D139="","",SUMIFS('AYLIK KESİNTİLER'!$E$2:$E$5000,'AYLIK KESİNTİLER'!$A$2:$A$5000,$A139,'AYLIK KESİNTİLER'!$B$2:$B$5000,$D139))</f>
        <v/>
      </c>
      <c r="N139" s="11">
        <f>IF($D139="","",$L139+$M139)</f>
        <v/>
      </c>
      <c r="O139" s="11">
        <f>IF($D139="","",$H139-$N139)</f>
        <v/>
      </c>
      <c r="P139" s="12">
        <f>IF($D139="","",IF($O139&lt;=0,"KAPANDI",IF(COUNTIFS($A$2:$A$200,$A139,$E$2:$E$200,"&lt;"&amp;$E139,$O$2:$O$200,"&gt;0")=0,"ÖDEMEDE","SIRADA")))</f>
        <v/>
      </c>
      <c r="Q139" s="8" t="n"/>
      <c r="R139" s="8" t="n"/>
      <c r="S139">
        <f>IF($D139="","",$A139&amp;"|"&amp;$P139)</f>
        <v/>
      </c>
    </row>
    <row r="140">
      <c r="A140" s="8" t="n"/>
      <c r="B140" s="9" t="n"/>
      <c r="C140" s="10" t="n"/>
      <c r="D140" s="8" t="n"/>
      <c r="E140" s="8" t="n"/>
      <c r="F140" s="8" t="n"/>
      <c r="G140" s="8" t="n"/>
      <c r="H140" s="11" t="n"/>
      <c r="I140" s="8" t="n"/>
      <c r="J140" s="8" t="n"/>
      <c r="K140" s="11" t="n"/>
      <c r="L140" s="11" t="n"/>
      <c r="M140" s="11">
        <f>IF($D140="","",SUMIFS('AYLIK KESİNTİLER'!$E$2:$E$5000,'AYLIK KESİNTİLER'!$A$2:$A$5000,$A140,'AYLIK KESİNTİLER'!$B$2:$B$5000,$D140))</f>
        <v/>
      </c>
      <c r="N140" s="11">
        <f>IF($D140="","",$L140+$M140)</f>
        <v/>
      </c>
      <c r="O140" s="11">
        <f>IF($D140="","",$H140-$N140)</f>
        <v/>
      </c>
      <c r="P140" s="12">
        <f>IF($D140="","",IF($O140&lt;=0,"KAPANDI",IF(COUNTIFS($A$2:$A$200,$A140,$E$2:$E$200,"&lt;"&amp;$E140,$O$2:$O$200,"&gt;0")=0,"ÖDEMEDE","SIRADA")))</f>
        <v/>
      </c>
      <c r="Q140" s="8" t="n"/>
      <c r="R140" s="8" t="n"/>
      <c r="S140">
        <f>IF($D140="","",$A140&amp;"|"&amp;$P140)</f>
        <v/>
      </c>
    </row>
    <row r="141">
      <c r="A141" s="8" t="n"/>
      <c r="B141" s="9" t="n"/>
      <c r="C141" s="10" t="n"/>
      <c r="D141" s="8" t="n"/>
      <c r="E141" s="8" t="n"/>
      <c r="F141" s="8" t="n"/>
      <c r="G141" s="8" t="n"/>
      <c r="H141" s="11" t="n"/>
      <c r="I141" s="8" t="n"/>
      <c r="J141" s="8" t="n"/>
      <c r="K141" s="11" t="n"/>
      <c r="L141" s="11" t="n"/>
      <c r="M141" s="11">
        <f>IF($D141="","",SUMIFS('AYLIK KESİNTİLER'!$E$2:$E$5000,'AYLIK KESİNTİLER'!$A$2:$A$5000,$A141,'AYLIK KESİNTİLER'!$B$2:$B$5000,$D141))</f>
        <v/>
      </c>
      <c r="N141" s="11">
        <f>IF($D141="","",$L141+$M141)</f>
        <v/>
      </c>
      <c r="O141" s="11">
        <f>IF($D141="","",$H141-$N141)</f>
        <v/>
      </c>
      <c r="P141" s="12">
        <f>IF($D141="","",IF($O141&lt;=0,"KAPANDI",IF(COUNTIFS($A$2:$A$200,$A141,$E$2:$E$200,"&lt;"&amp;$E141,$O$2:$O$200,"&gt;0")=0,"ÖDEMEDE","SIRADA")))</f>
        <v/>
      </c>
      <c r="Q141" s="8" t="n"/>
      <c r="R141" s="8" t="n"/>
      <c r="S141">
        <f>IF($D141="","",$A141&amp;"|"&amp;$P141)</f>
        <v/>
      </c>
    </row>
    <row r="142">
      <c r="A142" s="8" t="n"/>
      <c r="B142" s="9" t="n"/>
      <c r="C142" s="10" t="n"/>
      <c r="D142" s="8" t="n"/>
      <c r="E142" s="8" t="n"/>
      <c r="F142" s="8" t="n"/>
      <c r="G142" s="8" t="n"/>
      <c r="H142" s="11" t="n"/>
      <c r="I142" s="8" t="n"/>
      <c r="J142" s="8" t="n"/>
      <c r="K142" s="11" t="n"/>
      <c r="L142" s="11" t="n"/>
      <c r="M142" s="11">
        <f>IF($D142="","",SUMIFS('AYLIK KESİNTİLER'!$E$2:$E$5000,'AYLIK KESİNTİLER'!$A$2:$A$5000,$A142,'AYLIK KESİNTİLER'!$B$2:$B$5000,$D142))</f>
        <v/>
      </c>
      <c r="N142" s="11">
        <f>IF($D142="","",$L142+$M142)</f>
        <v/>
      </c>
      <c r="O142" s="11">
        <f>IF($D142="","",$H142-$N142)</f>
        <v/>
      </c>
      <c r="P142" s="12">
        <f>IF($D142="","",IF($O142&lt;=0,"KAPANDI",IF(COUNTIFS($A$2:$A$200,$A142,$E$2:$E$200,"&lt;"&amp;$E142,$O$2:$O$200,"&gt;0")=0,"ÖDEMEDE","SIRADA")))</f>
        <v/>
      </c>
      <c r="Q142" s="8" t="n"/>
      <c r="R142" s="8" t="n"/>
      <c r="S142">
        <f>IF($D142="","",$A142&amp;"|"&amp;$P142)</f>
        <v/>
      </c>
    </row>
    <row r="143">
      <c r="A143" s="8" t="n"/>
      <c r="B143" s="9" t="n"/>
      <c r="C143" s="10" t="n"/>
      <c r="D143" s="8" t="n"/>
      <c r="E143" s="8" t="n"/>
      <c r="F143" s="8" t="n"/>
      <c r="G143" s="8" t="n"/>
      <c r="H143" s="11" t="n"/>
      <c r="I143" s="8" t="n"/>
      <c r="J143" s="8" t="n"/>
      <c r="K143" s="11" t="n"/>
      <c r="L143" s="11" t="n"/>
      <c r="M143" s="11">
        <f>IF($D143="","",SUMIFS('AYLIK KESİNTİLER'!$E$2:$E$5000,'AYLIK KESİNTİLER'!$A$2:$A$5000,$A143,'AYLIK KESİNTİLER'!$B$2:$B$5000,$D143))</f>
        <v/>
      </c>
      <c r="N143" s="11">
        <f>IF($D143="","",$L143+$M143)</f>
        <v/>
      </c>
      <c r="O143" s="11">
        <f>IF($D143="","",$H143-$N143)</f>
        <v/>
      </c>
      <c r="P143" s="12">
        <f>IF($D143="","",IF($O143&lt;=0,"KAPANDI",IF(COUNTIFS($A$2:$A$200,$A143,$E$2:$E$200,"&lt;"&amp;$E143,$O$2:$O$200,"&gt;0")=0,"ÖDEMEDE","SIRADA")))</f>
        <v/>
      </c>
      <c r="Q143" s="8" t="n"/>
      <c r="R143" s="8" t="n"/>
      <c r="S143">
        <f>IF($D143="","",$A143&amp;"|"&amp;$P143)</f>
        <v/>
      </c>
    </row>
    <row r="144">
      <c r="A144" s="8" t="n"/>
      <c r="B144" s="9" t="n"/>
      <c r="C144" s="10" t="n"/>
      <c r="D144" s="8" t="n"/>
      <c r="E144" s="8" t="n"/>
      <c r="F144" s="8" t="n"/>
      <c r="G144" s="8" t="n"/>
      <c r="H144" s="11" t="n"/>
      <c r="I144" s="8" t="n"/>
      <c r="J144" s="8" t="n"/>
      <c r="K144" s="11" t="n"/>
      <c r="L144" s="11" t="n"/>
      <c r="M144" s="11">
        <f>IF($D144="","",SUMIFS('AYLIK KESİNTİLER'!$E$2:$E$5000,'AYLIK KESİNTİLER'!$A$2:$A$5000,$A144,'AYLIK KESİNTİLER'!$B$2:$B$5000,$D144))</f>
        <v/>
      </c>
      <c r="N144" s="11">
        <f>IF($D144="","",$L144+$M144)</f>
        <v/>
      </c>
      <c r="O144" s="11">
        <f>IF($D144="","",$H144-$N144)</f>
        <v/>
      </c>
      <c r="P144" s="12">
        <f>IF($D144="","",IF($O144&lt;=0,"KAPANDI",IF(COUNTIFS($A$2:$A$200,$A144,$E$2:$E$200,"&lt;"&amp;$E144,$O$2:$O$200,"&gt;0")=0,"ÖDEMEDE","SIRADA")))</f>
        <v/>
      </c>
      <c r="Q144" s="8" t="n"/>
      <c r="R144" s="8" t="n"/>
      <c r="S144">
        <f>IF($D144="","",$A144&amp;"|"&amp;$P144)</f>
        <v/>
      </c>
    </row>
    <row r="145">
      <c r="A145" s="8" t="n"/>
      <c r="B145" s="9" t="n"/>
      <c r="C145" s="10" t="n"/>
      <c r="D145" s="8" t="n"/>
      <c r="E145" s="8" t="n"/>
      <c r="F145" s="8" t="n"/>
      <c r="G145" s="8" t="n"/>
      <c r="H145" s="11" t="n"/>
      <c r="I145" s="8" t="n"/>
      <c r="J145" s="8" t="n"/>
      <c r="K145" s="11" t="n"/>
      <c r="L145" s="11" t="n"/>
      <c r="M145" s="11">
        <f>IF($D145="","",SUMIFS('AYLIK KESİNTİLER'!$E$2:$E$5000,'AYLIK KESİNTİLER'!$A$2:$A$5000,$A145,'AYLIK KESİNTİLER'!$B$2:$B$5000,$D145))</f>
        <v/>
      </c>
      <c r="N145" s="11">
        <f>IF($D145="","",$L145+$M145)</f>
        <v/>
      </c>
      <c r="O145" s="11">
        <f>IF($D145="","",$H145-$N145)</f>
        <v/>
      </c>
      <c r="P145" s="12">
        <f>IF($D145="","",IF($O145&lt;=0,"KAPANDI",IF(COUNTIFS($A$2:$A$200,$A145,$E$2:$E$200,"&lt;"&amp;$E145,$O$2:$O$200,"&gt;0")=0,"ÖDEMEDE","SIRADA")))</f>
        <v/>
      </c>
      <c r="Q145" s="8" t="n"/>
      <c r="R145" s="8" t="n"/>
      <c r="S145">
        <f>IF($D145="","",$A145&amp;"|"&amp;$P145)</f>
        <v/>
      </c>
    </row>
    <row r="146">
      <c r="A146" s="8" t="n"/>
      <c r="B146" s="9" t="n"/>
      <c r="C146" s="10" t="n"/>
      <c r="D146" s="8" t="n"/>
      <c r="E146" s="8" t="n"/>
      <c r="F146" s="8" t="n"/>
      <c r="G146" s="8" t="n"/>
      <c r="H146" s="11" t="n"/>
      <c r="I146" s="8" t="n"/>
      <c r="J146" s="8" t="n"/>
      <c r="K146" s="11" t="n"/>
      <c r="L146" s="11" t="n"/>
      <c r="M146" s="11">
        <f>IF($D146="","",SUMIFS('AYLIK KESİNTİLER'!$E$2:$E$5000,'AYLIK KESİNTİLER'!$A$2:$A$5000,$A146,'AYLIK KESİNTİLER'!$B$2:$B$5000,$D146))</f>
        <v/>
      </c>
      <c r="N146" s="11">
        <f>IF($D146="","",$L146+$M146)</f>
        <v/>
      </c>
      <c r="O146" s="11">
        <f>IF($D146="","",$H146-$N146)</f>
        <v/>
      </c>
      <c r="P146" s="12">
        <f>IF($D146="","",IF($O146&lt;=0,"KAPANDI",IF(COUNTIFS($A$2:$A$200,$A146,$E$2:$E$200,"&lt;"&amp;$E146,$O$2:$O$200,"&gt;0")=0,"ÖDEMEDE","SIRADA")))</f>
        <v/>
      </c>
      <c r="Q146" s="8" t="n"/>
      <c r="R146" s="8" t="n"/>
      <c r="S146">
        <f>IF($D146="","",$A146&amp;"|"&amp;$P146)</f>
        <v/>
      </c>
    </row>
    <row r="147">
      <c r="A147" s="8" t="n"/>
      <c r="B147" s="9" t="n"/>
      <c r="C147" s="10" t="n"/>
      <c r="D147" s="8" t="n"/>
      <c r="E147" s="8" t="n"/>
      <c r="F147" s="8" t="n"/>
      <c r="G147" s="8" t="n"/>
      <c r="H147" s="11" t="n"/>
      <c r="I147" s="8" t="n"/>
      <c r="J147" s="8" t="n"/>
      <c r="K147" s="11" t="n"/>
      <c r="L147" s="11" t="n"/>
      <c r="M147" s="11">
        <f>IF($D147="","",SUMIFS('AYLIK KESİNTİLER'!$E$2:$E$5000,'AYLIK KESİNTİLER'!$A$2:$A$5000,$A147,'AYLIK KESİNTİLER'!$B$2:$B$5000,$D147))</f>
        <v/>
      </c>
      <c r="N147" s="11">
        <f>IF($D147="","",$L147+$M147)</f>
        <v/>
      </c>
      <c r="O147" s="11">
        <f>IF($D147="","",$H147-$N147)</f>
        <v/>
      </c>
      <c r="P147" s="12">
        <f>IF($D147="","",IF($O147&lt;=0,"KAPANDI",IF(COUNTIFS($A$2:$A$200,$A147,$E$2:$E$200,"&lt;"&amp;$E147,$O$2:$O$200,"&gt;0")=0,"ÖDEMEDE","SIRADA")))</f>
        <v/>
      </c>
      <c r="Q147" s="8" t="n"/>
      <c r="R147" s="8" t="n"/>
      <c r="S147">
        <f>IF($D147="","",$A147&amp;"|"&amp;$P147)</f>
        <v/>
      </c>
    </row>
    <row r="148">
      <c r="A148" s="8" t="n"/>
      <c r="B148" s="9" t="n"/>
      <c r="C148" s="10" t="n"/>
      <c r="D148" s="8" t="n"/>
      <c r="E148" s="8" t="n"/>
      <c r="F148" s="8" t="n"/>
      <c r="G148" s="8" t="n"/>
      <c r="H148" s="11" t="n"/>
      <c r="I148" s="8" t="n"/>
      <c r="J148" s="8" t="n"/>
      <c r="K148" s="11" t="n"/>
      <c r="L148" s="11" t="n"/>
      <c r="M148" s="11">
        <f>IF($D148="","",SUMIFS('AYLIK KESİNTİLER'!$E$2:$E$5000,'AYLIK KESİNTİLER'!$A$2:$A$5000,$A148,'AYLIK KESİNTİLER'!$B$2:$B$5000,$D148))</f>
        <v/>
      </c>
      <c r="N148" s="11">
        <f>IF($D148="","",$L148+$M148)</f>
        <v/>
      </c>
      <c r="O148" s="11">
        <f>IF($D148="","",$H148-$N148)</f>
        <v/>
      </c>
      <c r="P148" s="12">
        <f>IF($D148="","",IF($O148&lt;=0,"KAPANDI",IF(COUNTIFS($A$2:$A$200,$A148,$E$2:$E$200,"&lt;"&amp;$E148,$O$2:$O$200,"&gt;0")=0,"ÖDEMEDE","SIRADA")))</f>
        <v/>
      </c>
      <c r="Q148" s="8" t="n"/>
      <c r="R148" s="8" t="n"/>
      <c r="S148">
        <f>IF($D148="","",$A148&amp;"|"&amp;$P148)</f>
        <v/>
      </c>
    </row>
    <row r="149">
      <c r="A149" s="8" t="n"/>
      <c r="B149" s="9" t="n"/>
      <c r="C149" s="10" t="n"/>
      <c r="D149" s="8" t="n"/>
      <c r="E149" s="8" t="n"/>
      <c r="F149" s="8" t="n"/>
      <c r="G149" s="8" t="n"/>
      <c r="H149" s="11" t="n"/>
      <c r="I149" s="8" t="n"/>
      <c r="J149" s="8" t="n"/>
      <c r="K149" s="11" t="n"/>
      <c r="L149" s="11" t="n"/>
      <c r="M149" s="11">
        <f>IF($D149="","",SUMIFS('AYLIK KESİNTİLER'!$E$2:$E$5000,'AYLIK KESİNTİLER'!$A$2:$A$5000,$A149,'AYLIK KESİNTİLER'!$B$2:$B$5000,$D149))</f>
        <v/>
      </c>
      <c r="N149" s="11">
        <f>IF($D149="","",$L149+$M149)</f>
        <v/>
      </c>
      <c r="O149" s="11">
        <f>IF($D149="","",$H149-$N149)</f>
        <v/>
      </c>
      <c r="P149" s="12">
        <f>IF($D149="","",IF($O149&lt;=0,"KAPANDI",IF(COUNTIFS($A$2:$A$200,$A149,$E$2:$E$200,"&lt;"&amp;$E149,$O$2:$O$200,"&gt;0")=0,"ÖDEMEDE","SIRADA")))</f>
        <v/>
      </c>
      <c r="Q149" s="8" t="n"/>
      <c r="R149" s="8" t="n"/>
      <c r="S149">
        <f>IF($D149="","",$A149&amp;"|"&amp;$P149)</f>
        <v/>
      </c>
    </row>
    <row r="150">
      <c r="A150" s="8" t="n"/>
      <c r="B150" s="9" t="n"/>
      <c r="C150" s="10" t="n"/>
      <c r="D150" s="8" t="n"/>
      <c r="E150" s="8" t="n"/>
      <c r="F150" s="8" t="n"/>
      <c r="G150" s="8" t="n"/>
      <c r="H150" s="11" t="n"/>
      <c r="I150" s="8" t="n"/>
      <c r="J150" s="8" t="n"/>
      <c r="K150" s="11" t="n"/>
      <c r="L150" s="11" t="n"/>
      <c r="M150" s="11">
        <f>IF($D150="","",SUMIFS('AYLIK KESİNTİLER'!$E$2:$E$5000,'AYLIK KESİNTİLER'!$A$2:$A$5000,$A150,'AYLIK KESİNTİLER'!$B$2:$B$5000,$D150))</f>
        <v/>
      </c>
      <c r="N150" s="11">
        <f>IF($D150="","",$L150+$M150)</f>
        <v/>
      </c>
      <c r="O150" s="11">
        <f>IF($D150="","",$H150-$N150)</f>
        <v/>
      </c>
      <c r="P150" s="12">
        <f>IF($D150="","",IF($O150&lt;=0,"KAPANDI",IF(COUNTIFS($A$2:$A$200,$A150,$E$2:$E$200,"&lt;"&amp;$E150,$O$2:$O$200,"&gt;0")=0,"ÖDEMEDE","SIRADA")))</f>
        <v/>
      </c>
      <c r="Q150" s="8" t="n"/>
      <c r="R150" s="8" t="n"/>
      <c r="S150">
        <f>IF($D150="","",$A150&amp;"|"&amp;$P150)</f>
        <v/>
      </c>
    </row>
    <row r="151">
      <c r="A151" s="8" t="n"/>
      <c r="B151" s="9" t="n"/>
      <c r="C151" s="10" t="n"/>
      <c r="D151" s="8" t="n"/>
      <c r="E151" s="8" t="n"/>
      <c r="F151" s="8" t="n"/>
      <c r="G151" s="8" t="n"/>
      <c r="H151" s="11" t="n"/>
      <c r="I151" s="8" t="n"/>
      <c r="J151" s="8" t="n"/>
      <c r="K151" s="11" t="n"/>
      <c r="L151" s="11" t="n"/>
      <c r="M151" s="11">
        <f>IF($D151="","",SUMIFS('AYLIK KESİNTİLER'!$E$2:$E$5000,'AYLIK KESİNTİLER'!$A$2:$A$5000,$A151,'AYLIK KESİNTİLER'!$B$2:$B$5000,$D151))</f>
        <v/>
      </c>
      <c r="N151" s="11">
        <f>IF($D151="","",$L151+$M151)</f>
        <v/>
      </c>
      <c r="O151" s="11">
        <f>IF($D151="","",$H151-$N151)</f>
        <v/>
      </c>
      <c r="P151" s="12">
        <f>IF($D151="","",IF($O151&lt;=0,"KAPANDI",IF(COUNTIFS($A$2:$A$200,$A151,$E$2:$E$200,"&lt;"&amp;$E151,$O$2:$O$200,"&gt;0")=0,"ÖDEMEDE","SIRADA")))</f>
        <v/>
      </c>
      <c r="Q151" s="8" t="n"/>
      <c r="R151" s="8" t="n"/>
      <c r="S151">
        <f>IF($D151="","",$A151&amp;"|"&amp;$P151)</f>
        <v/>
      </c>
    </row>
    <row r="152">
      <c r="A152" s="8" t="n"/>
      <c r="B152" s="9" t="n"/>
      <c r="C152" s="10" t="n"/>
      <c r="D152" s="8" t="n"/>
      <c r="E152" s="8" t="n"/>
      <c r="F152" s="8" t="n"/>
      <c r="G152" s="8" t="n"/>
      <c r="H152" s="11" t="n"/>
      <c r="I152" s="8" t="n"/>
      <c r="J152" s="8" t="n"/>
      <c r="K152" s="11" t="n"/>
      <c r="L152" s="11" t="n"/>
      <c r="M152" s="11">
        <f>IF($D152="","",SUMIFS('AYLIK KESİNTİLER'!$E$2:$E$5000,'AYLIK KESİNTİLER'!$A$2:$A$5000,$A152,'AYLIK KESİNTİLER'!$B$2:$B$5000,$D152))</f>
        <v/>
      </c>
      <c r="N152" s="11">
        <f>IF($D152="","",$L152+$M152)</f>
        <v/>
      </c>
      <c r="O152" s="11">
        <f>IF($D152="","",$H152-$N152)</f>
        <v/>
      </c>
      <c r="P152" s="12">
        <f>IF($D152="","",IF($O152&lt;=0,"KAPANDI",IF(COUNTIFS($A$2:$A$200,$A152,$E$2:$E$200,"&lt;"&amp;$E152,$O$2:$O$200,"&gt;0")=0,"ÖDEMEDE","SIRADA")))</f>
        <v/>
      </c>
      <c r="Q152" s="8" t="n"/>
      <c r="R152" s="8" t="n"/>
      <c r="S152">
        <f>IF($D152="","",$A152&amp;"|"&amp;$P152)</f>
        <v/>
      </c>
    </row>
    <row r="153">
      <c r="A153" s="8" t="n"/>
      <c r="B153" s="9" t="n"/>
      <c r="C153" s="10" t="n"/>
      <c r="D153" s="8" t="n"/>
      <c r="E153" s="8" t="n"/>
      <c r="F153" s="8" t="n"/>
      <c r="G153" s="8" t="n"/>
      <c r="H153" s="11" t="n"/>
      <c r="I153" s="8" t="n"/>
      <c r="J153" s="8" t="n"/>
      <c r="K153" s="11" t="n"/>
      <c r="L153" s="11" t="n"/>
      <c r="M153" s="11">
        <f>IF($D153="","",SUMIFS('AYLIK KESİNTİLER'!$E$2:$E$5000,'AYLIK KESİNTİLER'!$A$2:$A$5000,$A153,'AYLIK KESİNTİLER'!$B$2:$B$5000,$D153))</f>
        <v/>
      </c>
      <c r="N153" s="11">
        <f>IF($D153="","",$L153+$M153)</f>
        <v/>
      </c>
      <c r="O153" s="11">
        <f>IF($D153="","",$H153-$N153)</f>
        <v/>
      </c>
      <c r="P153" s="12">
        <f>IF($D153="","",IF($O153&lt;=0,"KAPANDI",IF(COUNTIFS($A$2:$A$200,$A153,$E$2:$E$200,"&lt;"&amp;$E153,$O$2:$O$200,"&gt;0")=0,"ÖDEMEDE","SIRADA")))</f>
        <v/>
      </c>
      <c r="Q153" s="8" t="n"/>
      <c r="R153" s="8" t="n"/>
      <c r="S153">
        <f>IF($D153="","",$A153&amp;"|"&amp;$P153)</f>
        <v/>
      </c>
    </row>
    <row r="154">
      <c r="A154" s="8" t="n"/>
      <c r="B154" s="9" t="n"/>
      <c r="C154" s="10" t="n"/>
      <c r="D154" s="8" t="n"/>
      <c r="E154" s="8" t="n"/>
      <c r="F154" s="8" t="n"/>
      <c r="G154" s="8" t="n"/>
      <c r="H154" s="11" t="n"/>
      <c r="I154" s="8" t="n"/>
      <c r="J154" s="8" t="n"/>
      <c r="K154" s="11" t="n"/>
      <c r="L154" s="11" t="n"/>
      <c r="M154" s="11">
        <f>IF($D154="","",SUMIFS('AYLIK KESİNTİLER'!$E$2:$E$5000,'AYLIK KESİNTİLER'!$A$2:$A$5000,$A154,'AYLIK KESİNTİLER'!$B$2:$B$5000,$D154))</f>
        <v/>
      </c>
      <c r="N154" s="11">
        <f>IF($D154="","",$L154+$M154)</f>
        <v/>
      </c>
      <c r="O154" s="11">
        <f>IF($D154="","",$H154-$N154)</f>
        <v/>
      </c>
      <c r="P154" s="12">
        <f>IF($D154="","",IF($O154&lt;=0,"KAPANDI",IF(COUNTIFS($A$2:$A$200,$A154,$E$2:$E$200,"&lt;"&amp;$E154,$O$2:$O$200,"&gt;0")=0,"ÖDEMEDE","SIRADA")))</f>
        <v/>
      </c>
      <c r="Q154" s="8" t="n"/>
      <c r="R154" s="8" t="n"/>
      <c r="S154">
        <f>IF($D154="","",$A154&amp;"|"&amp;$P154)</f>
        <v/>
      </c>
    </row>
    <row r="155">
      <c r="A155" s="8" t="n"/>
      <c r="B155" s="9" t="n"/>
      <c r="C155" s="10" t="n"/>
      <c r="D155" s="8" t="n"/>
      <c r="E155" s="8" t="n"/>
      <c r="F155" s="8" t="n"/>
      <c r="G155" s="8" t="n"/>
      <c r="H155" s="11" t="n"/>
      <c r="I155" s="8" t="n"/>
      <c r="J155" s="8" t="n"/>
      <c r="K155" s="11" t="n"/>
      <c r="L155" s="11" t="n"/>
      <c r="M155" s="11">
        <f>IF($D155="","",SUMIFS('AYLIK KESİNTİLER'!$E$2:$E$5000,'AYLIK KESİNTİLER'!$A$2:$A$5000,$A155,'AYLIK KESİNTİLER'!$B$2:$B$5000,$D155))</f>
        <v/>
      </c>
      <c r="N155" s="11">
        <f>IF($D155="","",$L155+$M155)</f>
        <v/>
      </c>
      <c r="O155" s="11">
        <f>IF($D155="","",$H155-$N155)</f>
        <v/>
      </c>
      <c r="P155" s="12">
        <f>IF($D155="","",IF($O155&lt;=0,"KAPANDI",IF(COUNTIFS($A$2:$A$200,$A155,$E$2:$E$200,"&lt;"&amp;$E155,$O$2:$O$200,"&gt;0")=0,"ÖDEMEDE","SIRADA")))</f>
        <v/>
      </c>
      <c r="Q155" s="8" t="n"/>
      <c r="R155" s="8" t="n"/>
      <c r="S155">
        <f>IF($D155="","",$A155&amp;"|"&amp;$P155)</f>
        <v/>
      </c>
    </row>
    <row r="156">
      <c r="A156" s="8" t="n"/>
      <c r="B156" s="9" t="n"/>
      <c r="C156" s="10" t="n"/>
      <c r="D156" s="8" t="n"/>
      <c r="E156" s="8" t="n"/>
      <c r="F156" s="8" t="n"/>
      <c r="G156" s="8" t="n"/>
      <c r="H156" s="11" t="n"/>
      <c r="I156" s="8" t="n"/>
      <c r="J156" s="8" t="n"/>
      <c r="K156" s="11" t="n"/>
      <c r="L156" s="11" t="n"/>
      <c r="M156" s="11">
        <f>IF($D156="","",SUMIFS('AYLIK KESİNTİLER'!$E$2:$E$5000,'AYLIK KESİNTİLER'!$A$2:$A$5000,$A156,'AYLIK KESİNTİLER'!$B$2:$B$5000,$D156))</f>
        <v/>
      </c>
      <c r="N156" s="11">
        <f>IF($D156="","",$L156+$M156)</f>
        <v/>
      </c>
      <c r="O156" s="11">
        <f>IF($D156="","",$H156-$N156)</f>
        <v/>
      </c>
      <c r="P156" s="12">
        <f>IF($D156="","",IF($O156&lt;=0,"KAPANDI",IF(COUNTIFS($A$2:$A$200,$A156,$E$2:$E$200,"&lt;"&amp;$E156,$O$2:$O$200,"&gt;0")=0,"ÖDEMEDE","SIRADA")))</f>
        <v/>
      </c>
      <c r="Q156" s="8" t="n"/>
      <c r="R156" s="8" t="n"/>
      <c r="S156">
        <f>IF($D156="","",$A156&amp;"|"&amp;$P156)</f>
        <v/>
      </c>
    </row>
    <row r="157">
      <c r="A157" s="8" t="n"/>
      <c r="B157" s="9" t="n"/>
      <c r="C157" s="10" t="n"/>
      <c r="D157" s="8" t="n"/>
      <c r="E157" s="8" t="n"/>
      <c r="F157" s="8" t="n"/>
      <c r="G157" s="8" t="n"/>
      <c r="H157" s="11" t="n"/>
      <c r="I157" s="8" t="n"/>
      <c r="J157" s="8" t="n"/>
      <c r="K157" s="11" t="n"/>
      <c r="L157" s="11" t="n"/>
      <c r="M157" s="11">
        <f>IF($D157="","",SUMIFS('AYLIK KESİNTİLER'!$E$2:$E$5000,'AYLIK KESİNTİLER'!$A$2:$A$5000,$A157,'AYLIK KESİNTİLER'!$B$2:$B$5000,$D157))</f>
        <v/>
      </c>
      <c r="N157" s="11">
        <f>IF($D157="","",$L157+$M157)</f>
        <v/>
      </c>
      <c r="O157" s="11">
        <f>IF($D157="","",$H157-$N157)</f>
        <v/>
      </c>
      <c r="P157" s="12">
        <f>IF($D157="","",IF($O157&lt;=0,"KAPANDI",IF(COUNTIFS($A$2:$A$200,$A157,$E$2:$E$200,"&lt;"&amp;$E157,$O$2:$O$200,"&gt;0")=0,"ÖDEMEDE","SIRADA")))</f>
        <v/>
      </c>
      <c r="Q157" s="8" t="n"/>
      <c r="R157" s="8" t="n"/>
      <c r="S157">
        <f>IF($D157="","",$A157&amp;"|"&amp;$P157)</f>
        <v/>
      </c>
    </row>
    <row r="158">
      <c r="A158" s="8" t="n"/>
      <c r="B158" s="9" t="n"/>
      <c r="C158" s="10" t="n"/>
      <c r="D158" s="8" t="n"/>
      <c r="E158" s="8" t="n"/>
      <c r="F158" s="8" t="n"/>
      <c r="G158" s="8" t="n"/>
      <c r="H158" s="11" t="n"/>
      <c r="I158" s="8" t="n"/>
      <c r="J158" s="8" t="n"/>
      <c r="K158" s="11" t="n"/>
      <c r="L158" s="11" t="n"/>
      <c r="M158" s="11">
        <f>IF($D158="","",SUMIFS('AYLIK KESİNTİLER'!$E$2:$E$5000,'AYLIK KESİNTİLER'!$A$2:$A$5000,$A158,'AYLIK KESİNTİLER'!$B$2:$B$5000,$D158))</f>
        <v/>
      </c>
      <c r="N158" s="11">
        <f>IF($D158="","",$L158+$M158)</f>
        <v/>
      </c>
      <c r="O158" s="11">
        <f>IF($D158="","",$H158-$N158)</f>
        <v/>
      </c>
      <c r="P158" s="12">
        <f>IF($D158="","",IF($O158&lt;=0,"KAPANDI",IF(COUNTIFS($A$2:$A$200,$A158,$E$2:$E$200,"&lt;"&amp;$E158,$O$2:$O$200,"&gt;0")=0,"ÖDEMEDE","SIRADA")))</f>
        <v/>
      </c>
      <c r="Q158" s="8" t="n"/>
      <c r="R158" s="8" t="n"/>
      <c r="S158">
        <f>IF($D158="","",$A158&amp;"|"&amp;$P158)</f>
        <v/>
      </c>
    </row>
    <row r="159">
      <c r="A159" s="8" t="n"/>
      <c r="B159" s="9" t="n"/>
      <c r="C159" s="10" t="n"/>
      <c r="D159" s="8" t="n"/>
      <c r="E159" s="8" t="n"/>
      <c r="F159" s="8" t="n"/>
      <c r="G159" s="8" t="n"/>
      <c r="H159" s="11" t="n"/>
      <c r="I159" s="8" t="n"/>
      <c r="J159" s="8" t="n"/>
      <c r="K159" s="11" t="n"/>
      <c r="L159" s="11" t="n"/>
      <c r="M159" s="11">
        <f>IF($D159="","",SUMIFS('AYLIK KESİNTİLER'!$E$2:$E$5000,'AYLIK KESİNTİLER'!$A$2:$A$5000,$A159,'AYLIK KESİNTİLER'!$B$2:$B$5000,$D159))</f>
        <v/>
      </c>
      <c r="N159" s="11">
        <f>IF($D159="","",$L159+$M159)</f>
        <v/>
      </c>
      <c r="O159" s="11">
        <f>IF($D159="","",$H159-$N159)</f>
        <v/>
      </c>
      <c r="P159" s="12">
        <f>IF($D159="","",IF($O159&lt;=0,"KAPANDI",IF(COUNTIFS($A$2:$A$200,$A159,$E$2:$E$200,"&lt;"&amp;$E159,$O$2:$O$200,"&gt;0")=0,"ÖDEMEDE","SIRADA")))</f>
        <v/>
      </c>
      <c r="Q159" s="8" t="n"/>
      <c r="R159" s="8" t="n"/>
      <c r="S159">
        <f>IF($D159="","",$A159&amp;"|"&amp;$P159)</f>
        <v/>
      </c>
    </row>
    <row r="160">
      <c r="A160" s="8" t="n"/>
      <c r="B160" s="9" t="n"/>
      <c r="C160" s="10" t="n"/>
      <c r="D160" s="8" t="n"/>
      <c r="E160" s="8" t="n"/>
      <c r="F160" s="8" t="n"/>
      <c r="G160" s="8" t="n"/>
      <c r="H160" s="11" t="n"/>
      <c r="I160" s="8" t="n"/>
      <c r="J160" s="8" t="n"/>
      <c r="K160" s="11" t="n"/>
      <c r="L160" s="11" t="n"/>
      <c r="M160" s="11">
        <f>IF($D160="","",SUMIFS('AYLIK KESİNTİLER'!$E$2:$E$5000,'AYLIK KESİNTİLER'!$A$2:$A$5000,$A160,'AYLIK KESİNTİLER'!$B$2:$B$5000,$D160))</f>
        <v/>
      </c>
      <c r="N160" s="11">
        <f>IF($D160="","",$L160+$M160)</f>
        <v/>
      </c>
      <c r="O160" s="11">
        <f>IF($D160="","",$H160-$N160)</f>
        <v/>
      </c>
      <c r="P160" s="12">
        <f>IF($D160="","",IF($O160&lt;=0,"KAPANDI",IF(COUNTIFS($A$2:$A$200,$A160,$E$2:$E$200,"&lt;"&amp;$E160,$O$2:$O$200,"&gt;0")=0,"ÖDEMEDE","SIRADA")))</f>
        <v/>
      </c>
      <c r="Q160" s="8" t="n"/>
      <c r="R160" s="8" t="n"/>
      <c r="S160">
        <f>IF($D160="","",$A160&amp;"|"&amp;$P160)</f>
        <v/>
      </c>
    </row>
    <row r="161">
      <c r="A161" s="8" t="n"/>
      <c r="B161" s="9" t="n"/>
      <c r="C161" s="10" t="n"/>
      <c r="D161" s="8" t="n"/>
      <c r="E161" s="8" t="n"/>
      <c r="F161" s="8" t="n"/>
      <c r="G161" s="8" t="n"/>
      <c r="H161" s="11" t="n"/>
      <c r="I161" s="8" t="n"/>
      <c r="J161" s="8" t="n"/>
      <c r="K161" s="11" t="n"/>
      <c r="L161" s="11" t="n"/>
      <c r="M161" s="11">
        <f>IF($D161="","",SUMIFS('AYLIK KESİNTİLER'!$E$2:$E$5000,'AYLIK KESİNTİLER'!$A$2:$A$5000,$A161,'AYLIK KESİNTİLER'!$B$2:$B$5000,$D161))</f>
        <v/>
      </c>
      <c r="N161" s="11">
        <f>IF($D161="","",$L161+$M161)</f>
        <v/>
      </c>
      <c r="O161" s="11">
        <f>IF($D161="","",$H161-$N161)</f>
        <v/>
      </c>
      <c r="P161" s="12">
        <f>IF($D161="","",IF($O161&lt;=0,"KAPANDI",IF(COUNTIFS($A$2:$A$200,$A161,$E$2:$E$200,"&lt;"&amp;$E161,$O$2:$O$200,"&gt;0")=0,"ÖDEMEDE","SIRADA")))</f>
        <v/>
      </c>
      <c r="Q161" s="8" t="n"/>
      <c r="R161" s="8" t="n"/>
      <c r="S161">
        <f>IF($D161="","",$A161&amp;"|"&amp;$P161)</f>
        <v/>
      </c>
    </row>
    <row r="162">
      <c r="A162" s="8" t="n"/>
      <c r="B162" s="9" t="n"/>
      <c r="C162" s="10" t="n"/>
      <c r="D162" s="8" t="n"/>
      <c r="E162" s="8" t="n"/>
      <c r="F162" s="8" t="n"/>
      <c r="G162" s="8" t="n"/>
      <c r="H162" s="11" t="n"/>
      <c r="I162" s="8" t="n"/>
      <c r="J162" s="8" t="n"/>
      <c r="K162" s="11" t="n"/>
      <c r="L162" s="11" t="n"/>
      <c r="M162" s="11">
        <f>IF($D162="","",SUMIFS('AYLIK KESİNTİLER'!$E$2:$E$5000,'AYLIK KESİNTİLER'!$A$2:$A$5000,$A162,'AYLIK KESİNTİLER'!$B$2:$B$5000,$D162))</f>
        <v/>
      </c>
      <c r="N162" s="11">
        <f>IF($D162="","",$L162+$M162)</f>
        <v/>
      </c>
      <c r="O162" s="11">
        <f>IF($D162="","",$H162-$N162)</f>
        <v/>
      </c>
      <c r="P162" s="12">
        <f>IF($D162="","",IF($O162&lt;=0,"KAPANDI",IF(COUNTIFS($A$2:$A$200,$A162,$E$2:$E$200,"&lt;"&amp;$E162,$O$2:$O$200,"&gt;0")=0,"ÖDEMEDE","SIRADA")))</f>
        <v/>
      </c>
      <c r="Q162" s="8" t="n"/>
      <c r="R162" s="8" t="n"/>
      <c r="S162">
        <f>IF($D162="","",$A162&amp;"|"&amp;$P162)</f>
        <v/>
      </c>
    </row>
    <row r="163">
      <c r="A163" s="8" t="n"/>
      <c r="B163" s="9" t="n"/>
      <c r="C163" s="10" t="n"/>
      <c r="D163" s="8" t="n"/>
      <c r="E163" s="8" t="n"/>
      <c r="F163" s="8" t="n"/>
      <c r="G163" s="8" t="n"/>
      <c r="H163" s="11" t="n"/>
      <c r="I163" s="8" t="n"/>
      <c r="J163" s="8" t="n"/>
      <c r="K163" s="11" t="n"/>
      <c r="L163" s="11" t="n"/>
      <c r="M163" s="11">
        <f>IF($D163="","",SUMIFS('AYLIK KESİNTİLER'!$E$2:$E$5000,'AYLIK KESİNTİLER'!$A$2:$A$5000,$A163,'AYLIK KESİNTİLER'!$B$2:$B$5000,$D163))</f>
        <v/>
      </c>
      <c r="N163" s="11">
        <f>IF($D163="","",$L163+$M163)</f>
        <v/>
      </c>
      <c r="O163" s="11">
        <f>IF($D163="","",$H163-$N163)</f>
        <v/>
      </c>
      <c r="P163" s="12">
        <f>IF($D163="","",IF($O163&lt;=0,"KAPANDI",IF(COUNTIFS($A$2:$A$200,$A163,$E$2:$E$200,"&lt;"&amp;$E163,$O$2:$O$200,"&gt;0")=0,"ÖDEMEDE","SIRADA")))</f>
        <v/>
      </c>
      <c r="Q163" s="8" t="n"/>
      <c r="R163" s="8" t="n"/>
      <c r="S163">
        <f>IF($D163="","",$A163&amp;"|"&amp;$P163)</f>
        <v/>
      </c>
    </row>
    <row r="164">
      <c r="A164" s="8" t="n"/>
      <c r="B164" s="9" t="n"/>
      <c r="C164" s="10" t="n"/>
      <c r="D164" s="8" t="n"/>
      <c r="E164" s="8" t="n"/>
      <c r="F164" s="8" t="n"/>
      <c r="G164" s="8" t="n"/>
      <c r="H164" s="11" t="n"/>
      <c r="I164" s="8" t="n"/>
      <c r="J164" s="8" t="n"/>
      <c r="K164" s="11" t="n"/>
      <c r="L164" s="11" t="n"/>
      <c r="M164" s="11">
        <f>IF($D164="","",SUMIFS('AYLIK KESİNTİLER'!$E$2:$E$5000,'AYLIK KESİNTİLER'!$A$2:$A$5000,$A164,'AYLIK KESİNTİLER'!$B$2:$B$5000,$D164))</f>
        <v/>
      </c>
      <c r="N164" s="11">
        <f>IF($D164="","",$L164+$M164)</f>
        <v/>
      </c>
      <c r="O164" s="11">
        <f>IF($D164="","",$H164-$N164)</f>
        <v/>
      </c>
      <c r="P164" s="12">
        <f>IF($D164="","",IF($O164&lt;=0,"KAPANDI",IF(COUNTIFS($A$2:$A$200,$A164,$E$2:$E$200,"&lt;"&amp;$E164,$O$2:$O$200,"&gt;0")=0,"ÖDEMEDE","SIRADA")))</f>
        <v/>
      </c>
      <c r="Q164" s="8" t="n"/>
      <c r="R164" s="8" t="n"/>
      <c r="S164">
        <f>IF($D164="","",$A164&amp;"|"&amp;$P164)</f>
        <v/>
      </c>
    </row>
    <row r="165">
      <c r="A165" s="8" t="n"/>
      <c r="B165" s="9" t="n"/>
      <c r="C165" s="10" t="n"/>
      <c r="D165" s="8" t="n"/>
      <c r="E165" s="8" t="n"/>
      <c r="F165" s="8" t="n"/>
      <c r="G165" s="8" t="n"/>
      <c r="H165" s="11" t="n"/>
      <c r="I165" s="8" t="n"/>
      <c r="J165" s="8" t="n"/>
      <c r="K165" s="11" t="n"/>
      <c r="L165" s="11" t="n"/>
      <c r="M165" s="11">
        <f>IF($D165="","",SUMIFS('AYLIK KESİNTİLER'!$E$2:$E$5000,'AYLIK KESİNTİLER'!$A$2:$A$5000,$A165,'AYLIK KESİNTİLER'!$B$2:$B$5000,$D165))</f>
        <v/>
      </c>
      <c r="N165" s="11">
        <f>IF($D165="","",$L165+$M165)</f>
        <v/>
      </c>
      <c r="O165" s="11">
        <f>IF($D165="","",$H165-$N165)</f>
        <v/>
      </c>
      <c r="P165" s="12">
        <f>IF($D165="","",IF($O165&lt;=0,"KAPANDI",IF(COUNTIFS($A$2:$A$200,$A165,$E$2:$E$200,"&lt;"&amp;$E165,$O$2:$O$200,"&gt;0")=0,"ÖDEMEDE","SIRADA")))</f>
        <v/>
      </c>
      <c r="Q165" s="8" t="n"/>
      <c r="R165" s="8" t="n"/>
      <c r="S165">
        <f>IF($D165="","",$A165&amp;"|"&amp;$P165)</f>
        <v/>
      </c>
    </row>
    <row r="166">
      <c r="A166" s="8" t="n"/>
      <c r="B166" s="9" t="n"/>
      <c r="C166" s="10" t="n"/>
      <c r="D166" s="8" t="n"/>
      <c r="E166" s="8" t="n"/>
      <c r="F166" s="8" t="n"/>
      <c r="G166" s="8" t="n"/>
      <c r="H166" s="11" t="n"/>
      <c r="I166" s="8" t="n"/>
      <c r="J166" s="8" t="n"/>
      <c r="K166" s="11" t="n"/>
      <c r="L166" s="11" t="n"/>
      <c r="M166" s="11">
        <f>IF($D166="","",SUMIFS('AYLIK KESİNTİLER'!$E$2:$E$5000,'AYLIK KESİNTİLER'!$A$2:$A$5000,$A166,'AYLIK KESİNTİLER'!$B$2:$B$5000,$D166))</f>
        <v/>
      </c>
      <c r="N166" s="11">
        <f>IF($D166="","",$L166+$M166)</f>
        <v/>
      </c>
      <c r="O166" s="11">
        <f>IF($D166="","",$H166-$N166)</f>
        <v/>
      </c>
      <c r="P166" s="12">
        <f>IF($D166="","",IF($O166&lt;=0,"KAPANDI",IF(COUNTIFS($A$2:$A$200,$A166,$E$2:$E$200,"&lt;"&amp;$E166,$O$2:$O$200,"&gt;0")=0,"ÖDEMEDE","SIRADA")))</f>
        <v/>
      </c>
      <c r="Q166" s="8" t="n"/>
      <c r="R166" s="8" t="n"/>
      <c r="S166">
        <f>IF($D166="","",$A166&amp;"|"&amp;$P166)</f>
        <v/>
      </c>
    </row>
    <row r="167">
      <c r="A167" s="8" t="n"/>
      <c r="B167" s="9" t="n"/>
      <c r="C167" s="10" t="n"/>
      <c r="D167" s="8" t="n"/>
      <c r="E167" s="8" t="n"/>
      <c r="F167" s="8" t="n"/>
      <c r="G167" s="8" t="n"/>
      <c r="H167" s="11" t="n"/>
      <c r="I167" s="8" t="n"/>
      <c r="J167" s="8" t="n"/>
      <c r="K167" s="11" t="n"/>
      <c r="L167" s="11" t="n"/>
      <c r="M167" s="11">
        <f>IF($D167="","",SUMIFS('AYLIK KESİNTİLER'!$E$2:$E$5000,'AYLIK KESİNTİLER'!$A$2:$A$5000,$A167,'AYLIK KESİNTİLER'!$B$2:$B$5000,$D167))</f>
        <v/>
      </c>
      <c r="N167" s="11">
        <f>IF($D167="","",$L167+$M167)</f>
        <v/>
      </c>
      <c r="O167" s="11">
        <f>IF($D167="","",$H167-$N167)</f>
        <v/>
      </c>
      <c r="P167" s="12">
        <f>IF($D167="","",IF($O167&lt;=0,"KAPANDI",IF(COUNTIFS($A$2:$A$200,$A167,$E$2:$E$200,"&lt;"&amp;$E167,$O$2:$O$200,"&gt;0")=0,"ÖDEMEDE","SIRADA")))</f>
        <v/>
      </c>
      <c r="Q167" s="8" t="n"/>
      <c r="R167" s="8" t="n"/>
      <c r="S167">
        <f>IF($D167="","",$A167&amp;"|"&amp;$P167)</f>
        <v/>
      </c>
    </row>
    <row r="168">
      <c r="A168" s="8" t="n"/>
      <c r="B168" s="9" t="n"/>
      <c r="C168" s="10" t="n"/>
      <c r="D168" s="8" t="n"/>
      <c r="E168" s="8" t="n"/>
      <c r="F168" s="8" t="n"/>
      <c r="G168" s="8" t="n"/>
      <c r="H168" s="11" t="n"/>
      <c r="I168" s="8" t="n"/>
      <c r="J168" s="8" t="n"/>
      <c r="K168" s="11" t="n"/>
      <c r="L168" s="11" t="n"/>
      <c r="M168" s="11">
        <f>IF($D168="","",SUMIFS('AYLIK KESİNTİLER'!$E$2:$E$5000,'AYLIK KESİNTİLER'!$A$2:$A$5000,$A168,'AYLIK KESİNTİLER'!$B$2:$B$5000,$D168))</f>
        <v/>
      </c>
      <c r="N168" s="11">
        <f>IF($D168="","",$L168+$M168)</f>
        <v/>
      </c>
      <c r="O168" s="11">
        <f>IF($D168="","",$H168-$N168)</f>
        <v/>
      </c>
      <c r="P168" s="12">
        <f>IF($D168="","",IF($O168&lt;=0,"KAPANDI",IF(COUNTIFS($A$2:$A$200,$A168,$E$2:$E$200,"&lt;"&amp;$E168,$O$2:$O$200,"&gt;0")=0,"ÖDEMEDE","SIRADA")))</f>
        <v/>
      </c>
      <c r="Q168" s="8" t="n"/>
      <c r="R168" s="8" t="n"/>
      <c r="S168">
        <f>IF($D168="","",$A168&amp;"|"&amp;$P168)</f>
        <v/>
      </c>
    </row>
    <row r="169">
      <c r="A169" s="8" t="n"/>
      <c r="B169" s="9" t="n"/>
      <c r="C169" s="10" t="n"/>
      <c r="D169" s="8" t="n"/>
      <c r="E169" s="8" t="n"/>
      <c r="F169" s="8" t="n"/>
      <c r="G169" s="8" t="n"/>
      <c r="H169" s="11" t="n"/>
      <c r="I169" s="8" t="n"/>
      <c r="J169" s="8" t="n"/>
      <c r="K169" s="11" t="n"/>
      <c r="L169" s="11" t="n"/>
      <c r="M169" s="11">
        <f>IF($D169="","",SUMIFS('AYLIK KESİNTİLER'!$E$2:$E$5000,'AYLIK KESİNTİLER'!$A$2:$A$5000,$A169,'AYLIK KESİNTİLER'!$B$2:$B$5000,$D169))</f>
        <v/>
      </c>
      <c r="N169" s="11">
        <f>IF($D169="","",$L169+$M169)</f>
        <v/>
      </c>
      <c r="O169" s="11">
        <f>IF($D169="","",$H169-$N169)</f>
        <v/>
      </c>
      <c r="P169" s="12">
        <f>IF($D169="","",IF($O169&lt;=0,"KAPANDI",IF(COUNTIFS($A$2:$A$200,$A169,$E$2:$E$200,"&lt;"&amp;$E169,$O$2:$O$200,"&gt;0")=0,"ÖDEMEDE","SIRADA")))</f>
        <v/>
      </c>
      <c r="Q169" s="8" t="n"/>
      <c r="R169" s="8" t="n"/>
      <c r="S169">
        <f>IF($D169="","",$A169&amp;"|"&amp;$P169)</f>
        <v/>
      </c>
    </row>
    <row r="170">
      <c r="A170" s="8" t="n"/>
      <c r="B170" s="9" t="n"/>
      <c r="C170" s="10" t="n"/>
      <c r="D170" s="8" t="n"/>
      <c r="E170" s="8" t="n"/>
      <c r="F170" s="8" t="n"/>
      <c r="G170" s="8" t="n"/>
      <c r="H170" s="11" t="n"/>
      <c r="I170" s="8" t="n"/>
      <c r="J170" s="8" t="n"/>
      <c r="K170" s="11" t="n"/>
      <c r="L170" s="11" t="n"/>
      <c r="M170" s="11">
        <f>IF($D170="","",SUMIFS('AYLIK KESİNTİLER'!$E$2:$E$5000,'AYLIK KESİNTİLER'!$A$2:$A$5000,$A170,'AYLIK KESİNTİLER'!$B$2:$B$5000,$D170))</f>
        <v/>
      </c>
      <c r="N170" s="11">
        <f>IF($D170="","",$L170+$M170)</f>
        <v/>
      </c>
      <c r="O170" s="11">
        <f>IF($D170="","",$H170-$N170)</f>
        <v/>
      </c>
      <c r="P170" s="12">
        <f>IF($D170="","",IF($O170&lt;=0,"KAPANDI",IF(COUNTIFS($A$2:$A$200,$A170,$E$2:$E$200,"&lt;"&amp;$E170,$O$2:$O$200,"&gt;0")=0,"ÖDEMEDE","SIRADA")))</f>
        <v/>
      </c>
      <c r="Q170" s="8" t="n"/>
      <c r="R170" s="8" t="n"/>
      <c r="S170">
        <f>IF($D170="","",$A170&amp;"|"&amp;$P170)</f>
        <v/>
      </c>
    </row>
    <row r="171">
      <c r="A171" s="8" t="n"/>
      <c r="B171" s="9" t="n"/>
      <c r="C171" s="10" t="n"/>
      <c r="D171" s="8" t="n"/>
      <c r="E171" s="8" t="n"/>
      <c r="F171" s="8" t="n"/>
      <c r="G171" s="8" t="n"/>
      <c r="H171" s="11" t="n"/>
      <c r="I171" s="8" t="n"/>
      <c r="J171" s="8" t="n"/>
      <c r="K171" s="11" t="n"/>
      <c r="L171" s="11" t="n"/>
      <c r="M171" s="11">
        <f>IF($D171="","",SUMIFS('AYLIK KESİNTİLER'!$E$2:$E$5000,'AYLIK KESİNTİLER'!$A$2:$A$5000,$A171,'AYLIK KESİNTİLER'!$B$2:$B$5000,$D171))</f>
        <v/>
      </c>
      <c r="N171" s="11">
        <f>IF($D171="","",$L171+$M171)</f>
        <v/>
      </c>
      <c r="O171" s="11">
        <f>IF($D171="","",$H171-$N171)</f>
        <v/>
      </c>
      <c r="P171" s="12">
        <f>IF($D171="","",IF($O171&lt;=0,"KAPANDI",IF(COUNTIFS($A$2:$A$200,$A171,$E$2:$E$200,"&lt;"&amp;$E171,$O$2:$O$200,"&gt;0")=0,"ÖDEMEDE","SIRADA")))</f>
        <v/>
      </c>
      <c r="Q171" s="8" t="n"/>
      <c r="R171" s="8" t="n"/>
      <c r="S171">
        <f>IF($D171="","",$A171&amp;"|"&amp;$P171)</f>
        <v/>
      </c>
    </row>
    <row r="172">
      <c r="A172" s="8" t="n"/>
      <c r="B172" s="9" t="n"/>
      <c r="C172" s="10" t="n"/>
      <c r="D172" s="8" t="n"/>
      <c r="E172" s="8" t="n"/>
      <c r="F172" s="8" t="n"/>
      <c r="G172" s="8" t="n"/>
      <c r="H172" s="11" t="n"/>
      <c r="I172" s="8" t="n"/>
      <c r="J172" s="8" t="n"/>
      <c r="K172" s="11" t="n"/>
      <c r="L172" s="11" t="n"/>
      <c r="M172" s="11">
        <f>IF($D172="","",SUMIFS('AYLIK KESİNTİLER'!$E$2:$E$5000,'AYLIK KESİNTİLER'!$A$2:$A$5000,$A172,'AYLIK KESİNTİLER'!$B$2:$B$5000,$D172))</f>
        <v/>
      </c>
      <c r="N172" s="11">
        <f>IF($D172="","",$L172+$M172)</f>
        <v/>
      </c>
      <c r="O172" s="11">
        <f>IF($D172="","",$H172-$N172)</f>
        <v/>
      </c>
      <c r="P172" s="12">
        <f>IF($D172="","",IF($O172&lt;=0,"KAPANDI",IF(COUNTIFS($A$2:$A$200,$A172,$E$2:$E$200,"&lt;"&amp;$E172,$O$2:$O$200,"&gt;0")=0,"ÖDEMEDE","SIRADA")))</f>
        <v/>
      </c>
      <c r="Q172" s="8" t="n"/>
      <c r="R172" s="8" t="n"/>
      <c r="S172">
        <f>IF($D172="","",$A172&amp;"|"&amp;$P172)</f>
        <v/>
      </c>
    </row>
    <row r="173">
      <c r="A173" s="8" t="n"/>
      <c r="B173" s="9" t="n"/>
      <c r="C173" s="10" t="n"/>
      <c r="D173" s="8" t="n"/>
      <c r="E173" s="8" t="n"/>
      <c r="F173" s="8" t="n"/>
      <c r="G173" s="8" t="n"/>
      <c r="H173" s="11" t="n"/>
      <c r="I173" s="8" t="n"/>
      <c r="J173" s="8" t="n"/>
      <c r="K173" s="11" t="n"/>
      <c r="L173" s="11" t="n"/>
      <c r="M173" s="11">
        <f>IF($D173="","",SUMIFS('AYLIK KESİNTİLER'!$E$2:$E$5000,'AYLIK KESİNTİLER'!$A$2:$A$5000,$A173,'AYLIK KESİNTİLER'!$B$2:$B$5000,$D173))</f>
        <v/>
      </c>
      <c r="N173" s="11">
        <f>IF($D173="","",$L173+$M173)</f>
        <v/>
      </c>
      <c r="O173" s="11">
        <f>IF($D173="","",$H173-$N173)</f>
        <v/>
      </c>
      <c r="P173" s="12">
        <f>IF($D173="","",IF($O173&lt;=0,"KAPANDI",IF(COUNTIFS($A$2:$A$200,$A173,$E$2:$E$200,"&lt;"&amp;$E173,$O$2:$O$200,"&gt;0")=0,"ÖDEMEDE","SIRADA")))</f>
        <v/>
      </c>
      <c r="Q173" s="8" t="n"/>
      <c r="R173" s="8" t="n"/>
      <c r="S173">
        <f>IF($D173="","",$A173&amp;"|"&amp;$P173)</f>
        <v/>
      </c>
    </row>
    <row r="174">
      <c r="A174" s="8" t="n"/>
      <c r="B174" s="9" t="n"/>
      <c r="C174" s="10" t="n"/>
      <c r="D174" s="8" t="n"/>
      <c r="E174" s="8" t="n"/>
      <c r="F174" s="8" t="n"/>
      <c r="G174" s="8" t="n"/>
      <c r="H174" s="11" t="n"/>
      <c r="I174" s="8" t="n"/>
      <c r="J174" s="8" t="n"/>
      <c r="K174" s="11" t="n"/>
      <c r="L174" s="11" t="n"/>
      <c r="M174" s="11">
        <f>IF($D174="","",SUMIFS('AYLIK KESİNTİLER'!$E$2:$E$5000,'AYLIK KESİNTİLER'!$A$2:$A$5000,$A174,'AYLIK KESİNTİLER'!$B$2:$B$5000,$D174))</f>
        <v/>
      </c>
      <c r="N174" s="11">
        <f>IF($D174="","",$L174+$M174)</f>
        <v/>
      </c>
      <c r="O174" s="11">
        <f>IF($D174="","",$H174-$N174)</f>
        <v/>
      </c>
      <c r="P174" s="12">
        <f>IF($D174="","",IF($O174&lt;=0,"KAPANDI",IF(COUNTIFS($A$2:$A$200,$A174,$E$2:$E$200,"&lt;"&amp;$E174,$O$2:$O$200,"&gt;0")=0,"ÖDEMEDE","SIRADA")))</f>
        <v/>
      </c>
      <c r="Q174" s="8" t="n"/>
      <c r="R174" s="8" t="n"/>
      <c r="S174">
        <f>IF($D174="","",$A174&amp;"|"&amp;$P174)</f>
        <v/>
      </c>
    </row>
    <row r="175">
      <c r="A175" s="8" t="n"/>
      <c r="B175" s="9" t="n"/>
      <c r="C175" s="10" t="n"/>
      <c r="D175" s="8" t="n"/>
      <c r="E175" s="8" t="n"/>
      <c r="F175" s="8" t="n"/>
      <c r="G175" s="8" t="n"/>
      <c r="H175" s="11" t="n"/>
      <c r="I175" s="8" t="n"/>
      <c r="J175" s="8" t="n"/>
      <c r="K175" s="11" t="n"/>
      <c r="L175" s="11" t="n"/>
      <c r="M175" s="11">
        <f>IF($D175="","",SUMIFS('AYLIK KESİNTİLER'!$E$2:$E$5000,'AYLIK KESİNTİLER'!$A$2:$A$5000,$A175,'AYLIK KESİNTİLER'!$B$2:$B$5000,$D175))</f>
        <v/>
      </c>
      <c r="N175" s="11">
        <f>IF($D175="","",$L175+$M175)</f>
        <v/>
      </c>
      <c r="O175" s="11">
        <f>IF($D175="","",$H175-$N175)</f>
        <v/>
      </c>
      <c r="P175" s="12">
        <f>IF($D175="","",IF($O175&lt;=0,"KAPANDI",IF(COUNTIFS($A$2:$A$200,$A175,$E$2:$E$200,"&lt;"&amp;$E175,$O$2:$O$200,"&gt;0")=0,"ÖDEMEDE","SIRADA")))</f>
        <v/>
      </c>
      <c r="Q175" s="8" t="n"/>
      <c r="R175" s="8" t="n"/>
      <c r="S175">
        <f>IF($D175="","",$A175&amp;"|"&amp;$P175)</f>
        <v/>
      </c>
    </row>
    <row r="176">
      <c r="A176" s="8" t="n"/>
      <c r="B176" s="9" t="n"/>
      <c r="C176" s="10" t="n"/>
      <c r="D176" s="8" t="n"/>
      <c r="E176" s="8" t="n"/>
      <c r="F176" s="8" t="n"/>
      <c r="G176" s="8" t="n"/>
      <c r="H176" s="11" t="n"/>
      <c r="I176" s="8" t="n"/>
      <c r="J176" s="8" t="n"/>
      <c r="K176" s="11" t="n"/>
      <c r="L176" s="11" t="n"/>
      <c r="M176" s="11">
        <f>IF($D176="","",SUMIFS('AYLIK KESİNTİLER'!$E$2:$E$5000,'AYLIK KESİNTİLER'!$A$2:$A$5000,$A176,'AYLIK KESİNTİLER'!$B$2:$B$5000,$D176))</f>
        <v/>
      </c>
      <c r="N176" s="11">
        <f>IF($D176="","",$L176+$M176)</f>
        <v/>
      </c>
      <c r="O176" s="11">
        <f>IF($D176="","",$H176-$N176)</f>
        <v/>
      </c>
      <c r="P176" s="12">
        <f>IF($D176="","",IF($O176&lt;=0,"KAPANDI",IF(COUNTIFS($A$2:$A$200,$A176,$E$2:$E$200,"&lt;"&amp;$E176,$O$2:$O$200,"&gt;0")=0,"ÖDEMEDE","SIRADA")))</f>
        <v/>
      </c>
      <c r="Q176" s="8" t="n"/>
      <c r="R176" s="8" t="n"/>
      <c r="S176">
        <f>IF($D176="","",$A176&amp;"|"&amp;$P176)</f>
        <v/>
      </c>
    </row>
    <row r="177">
      <c r="A177" s="8" t="n"/>
      <c r="B177" s="9" t="n"/>
      <c r="C177" s="10" t="n"/>
      <c r="D177" s="8" t="n"/>
      <c r="E177" s="8" t="n"/>
      <c r="F177" s="8" t="n"/>
      <c r="G177" s="8" t="n"/>
      <c r="H177" s="11" t="n"/>
      <c r="I177" s="8" t="n"/>
      <c r="J177" s="8" t="n"/>
      <c r="K177" s="11" t="n"/>
      <c r="L177" s="11" t="n"/>
      <c r="M177" s="11">
        <f>IF($D177="","",SUMIFS('AYLIK KESİNTİLER'!$E$2:$E$5000,'AYLIK KESİNTİLER'!$A$2:$A$5000,$A177,'AYLIK KESİNTİLER'!$B$2:$B$5000,$D177))</f>
        <v/>
      </c>
      <c r="N177" s="11">
        <f>IF($D177="","",$L177+$M177)</f>
        <v/>
      </c>
      <c r="O177" s="11">
        <f>IF($D177="","",$H177-$N177)</f>
        <v/>
      </c>
      <c r="P177" s="12">
        <f>IF($D177="","",IF($O177&lt;=0,"KAPANDI",IF(COUNTIFS($A$2:$A$200,$A177,$E$2:$E$200,"&lt;"&amp;$E177,$O$2:$O$200,"&gt;0")=0,"ÖDEMEDE","SIRADA")))</f>
        <v/>
      </c>
      <c r="Q177" s="8" t="n"/>
      <c r="R177" s="8" t="n"/>
      <c r="S177">
        <f>IF($D177="","",$A177&amp;"|"&amp;$P177)</f>
        <v/>
      </c>
    </row>
    <row r="178">
      <c r="A178" s="8" t="n"/>
      <c r="B178" s="9" t="n"/>
      <c r="C178" s="10" t="n"/>
      <c r="D178" s="8" t="n"/>
      <c r="E178" s="8" t="n"/>
      <c r="F178" s="8" t="n"/>
      <c r="G178" s="8" t="n"/>
      <c r="H178" s="11" t="n"/>
      <c r="I178" s="8" t="n"/>
      <c r="J178" s="8" t="n"/>
      <c r="K178" s="11" t="n"/>
      <c r="L178" s="11" t="n"/>
      <c r="M178" s="11">
        <f>IF($D178="","",SUMIFS('AYLIK KESİNTİLER'!$E$2:$E$5000,'AYLIK KESİNTİLER'!$A$2:$A$5000,$A178,'AYLIK KESİNTİLER'!$B$2:$B$5000,$D178))</f>
        <v/>
      </c>
      <c r="N178" s="11">
        <f>IF($D178="","",$L178+$M178)</f>
        <v/>
      </c>
      <c r="O178" s="11">
        <f>IF($D178="","",$H178-$N178)</f>
        <v/>
      </c>
      <c r="P178" s="12">
        <f>IF($D178="","",IF($O178&lt;=0,"KAPANDI",IF(COUNTIFS($A$2:$A$200,$A178,$E$2:$E$200,"&lt;"&amp;$E178,$O$2:$O$200,"&gt;0")=0,"ÖDEMEDE","SIRADA")))</f>
        <v/>
      </c>
      <c r="Q178" s="8" t="n"/>
      <c r="R178" s="8" t="n"/>
      <c r="S178">
        <f>IF($D178="","",$A178&amp;"|"&amp;$P178)</f>
        <v/>
      </c>
    </row>
    <row r="179">
      <c r="A179" s="8" t="n"/>
      <c r="B179" s="9" t="n"/>
      <c r="C179" s="10" t="n"/>
      <c r="D179" s="8" t="n"/>
      <c r="E179" s="8" t="n"/>
      <c r="F179" s="8" t="n"/>
      <c r="G179" s="8" t="n"/>
      <c r="H179" s="11" t="n"/>
      <c r="I179" s="8" t="n"/>
      <c r="J179" s="8" t="n"/>
      <c r="K179" s="11" t="n"/>
      <c r="L179" s="11" t="n"/>
      <c r="M179" s="11">
        <f>IF($D179="","",SUMIFS('AYLIK KESİNTİLER'!$E$2:$E$5000,'AYLIK KESİNTİLER'!$A$2:$A$5000,$A179,'AYLIK KESİNTİLER'!$B$2:$B$5000,$D179))</f>
        <v/>
      </c>
      <c r="N179" s="11">
        <f>IF($D179="","",$L179+$M179)</f>
        <v/>
      </c>
      <c r="O179" s="11">
        <f>IF($D179="","",$H179-$N179)</f>
        <v/>
      </c>
      <c r="P179" s="12">
        <f>IF($D179="","",IF($O179&lt;=0,"KAPANDI",IF(COUNTIFS($A$2:$A$200,$A179,$E$2:$E$200,"&lt;"&amp;$E179,$O$2:$O$200,"&gt;0")=0,"ÖDEMEDE","SIRADA")))</f>
        <v/>
      </c>
      <c r="Q179" s="8" t="n"/>
      <c r="R179" s="8" t="n"/>
      <c r="S179">
        <f>IF($D179="","",$A179&amp;"|"&amp;$P179)</f>
        <v/>
      </c>
    </row>
    <row r="180">
      <c r="A180" s="8" t="n"/>
      <c r="B180" s="9" t="n"/>
      <c r="C180" s="10" t="n"/>
      <c r="D180" s="8" t="n"/>
      <c r="E180" s="8" t="n"/>
      <c r="F180" s="8" t="n"/>
      <c r="G180" s="8" t="n"/>
      <c r="H180" s="11" t="n"/>
      <c r="I180" s="8" t="n"/>
      <c r="J180" s="8" t="n"/>
      <c r="K180" s="11" t="n"/>
      <c r="L180" s="11" t="n"/>
      <c r="M180" s="11">
        <f>IF($D180="","",SUMIFS('AYLIK KESİNTİLER'!$E$2:$E$5000,'AYLIK KESİNTİLER'!$A$2:$A$5000,$A180,'AYLIK KESİNTİLER'!$B$2:$B$5000,$D180))</f>
        <v/>
      </c>
      <c r="N180" s="11">
        <f>IF($D180="","",$L180+$M180)</f>
        <v/>
      </c>
      <c r="O180" s="11">
        <f>IF($D180="","",$H180-$N180)</f>
        <v/>
      </c>
      <c r="P180" s="12">
        <f>IF($D180="","",IF($O180&lt;=0,"KAPANDI",IF(COUNTIFS($A$2:$A$200,$A180,$E$2:$E$200,"&lt;"&amp;$E180,$O$2:$O$200,"&gt;0")=0,"ÖDEMEDE","SIRADA")))</f>
        <v/>
      </c>
      <c r="Q180" s="8" t="n"/>
      <c r="R180" s="8" t="n"/>
      <c r="S180">
        <f>IF($D180="","",$A180&amp;"|"&amp;$P180)</f>
        <v/>
      </c>
    </row>
    <row r="181">
      <c r="A181" s="8" t="n"/>
      <c r="B181" s="9" t="n"/>
      <c r="C181" s="10" t="n"/>
      <c r="D181" s="8" t="n"/>
      <c r="E181" s="8" t="n"/>
      <c r="F181" s="8" t="n"/>
      <c r="G181" s="8" t="n"/>
      <c r="H181" s="11" t="n"/>
      <c r="I181" s="8" t="n"/>
      <c r="J181" s="8" t="n"/>
      <c r="K181" s="11" t="n"/>
      <c r="L181" s="11" t="n"/>
      <c r="M181" s="11">
        <f>IF($D181="","",SUMIFS('AYLIK KESİNTİLER'!$E$2:$E$5000,'AYLIK KESİNTİLER'!$A$2:$A$5000,$A181,'AYLIK KESİNTİLER'!$B$2:$B$5000,$D181))</f>
        <v/>
      </c>
      <c r="N181" s="11">
        <f>IF($D181="","",$L181+$M181)</f>
        <v/>
      </c>
      <c r="O181" s="11">
        <f>IF($D181="","",$H181-$N181)</f>
        <v/>
      </c>
      <c r="P181" s="12">
        <f>IF($D181="","",IF($O181&lt;=0,"KAPANDI",IF(COUNTIFS($A$2:$A$200,$A181,$E$2:$E$200,"&lt;"&amp;$E181,$O$2:$O$200,"&gt;0")=0,"ÖDEMEDE","SIRADA")))</f>
        <v/>
      </c>
      <c r="Q181" s="8" t="n"/>
      <c r="R181" s="8" t="n"/>
      <c r="S181">
        <f>IF($D181="","",$A181&amp;"|"&amp;$P181)</f>
        <v/>
      </c>
    </row>
    <row r="182">
      <c r="A182" s="8" t="n"/>
      <c r="B182" s="9" t="n"/>
      <c r="C182" s="10" t="n"/>
      <c r="D182" s="8" t="n"/>
      <c r="E182" s="8" t="n"/>
      <c r="F182" s="8" t="n"/>
      <c r="G182" s="8" t="n"/>
      <c r="H182" s="11" t="n"/>
      <c r="I182" s="8" t="n"/>
      <c r="J182" s="8" t="n"/>
      <c r="K182" s="11" t="n"/>
      <c r="L182" s="11" t="n"/>
      <c r="M182" s="11">
        <f>IF($D182="","",SUMIFS('AYLIK KESİNTİLER'!$E$2:$E$5000,'AYLIK KESİNTİLER'!$A$2:$A$5000,$A182,'AYLIK KESİNTİLER'!$B$2:$B$5000,$D182))</f>
        <v/>
      </c>
      <c r="N182" s="11">
        <f>IF($D182="","",$L182+$M182)</f>
        <v/>
      </c>
      <c r="O182" s="11">
        <f>IF($D182="","",$H182-$N182)</f>
        <v/>
      </c>
      <c r="P182" s="12">
        <f>IF($D182="","",IF($O182&lt;=0,"KAPANDI",IF(COUNTIFS($A$2:$A$200,$A182,$E$2:$E$200,"&lt;"&amp;$E182,$O$2:$O$200,"&gt;0")=0,"ÖDEMEDE","SIRADA")))</f>
        <v/>
      </c>
      <c r="Q182" s="8" t="n"/>
      <c r="R182" s="8" t="n"/>
      <c r="S182">
        <f>IF($D182="","",$A182&amp;"|"&amp;$P182)</f>
        <v/>
      </c>
    </row>
    <row r="183">
      <c r="A183" s="8" t="n"/>
      <c r="B183" s="9" t="n"/>
      <c r="C183" s="10" t="n"/>
      <c r="D183" s="8" t="n"/>
      <c r="E183" s="8" t="n"/>
      <c r="F183" s="8" t="n"/>
      <c r="G183" s="8" t="n"/>
      <c r="H183" s="11" t="n"/>
      <c r="I183" s="8" t="n"/>
      <c r="J183" s="8" t="n"/>
      <c r="K183" s="11" t="n"/>
      <c r="L183" s="11" t="n"/>
      <c r="M183" s="11">
        <f>IF($D183="","",SUMIFS('AYLIK KESİNTİLER'!$E$2:$E$5000,'AYLIK KESİNTİLER'!$A$2:$A$5000,$A183,'AYLIK KESİNTİLER'!$B$2:$B$5000,$D183))</f>
        <v/>
      </c>
      <c r="N183" s="11">
        <f>IF($D183="","",$L183+$M183)</f>
        <v/>
      </c>
      <c r="O183" s="11">
        <f>IF($D183="","",$H183-$N183)</f>
        <v/>
      </c>
      <c r="P183" s="12">
        <f>IF($D183="","",IF($O183&lt;=0,"KAPANDI",IF(COUNTIFS($A$2:$A$200,$A183,$E$2:$E$200,"&lt;"&amp;$E183,$O$2:$O$200,"&gt;0")=0,"ÖDEMEDE","SIRADA")))</f>
        <v/>
      </c>
      <c r="Q183" s="8" t="n"/>
      <c r="R183" s="8" t="n"/>
      <c r="S183">
        <f>IF($D183="","",$A183&amp;"|"&amp;$P183)</f>
        <v/>
      </c>
    </row>
    <row r="184">
      <c r="A184" s="8" t="n"/>
      <c r="B184" s="9" t="n"/>
      <c r="C184" s="10" t="n"/>
      <c r="D184" s="8" t="n"/>
      <c r="E184" s="8" t="n"/>
      <c r="F184" s="8" t="n"/>
      <c r="G184" s="8" t="n"/>
      <c r="H184" s="11" t="n"/>
      <c r="I184" s="8" t="n"/>
      <c r="J184" s="8" t="n"/>
      <c r="K184" s="11" t="n"/>
      <c r="L184" s="11" t="n"/>
      <c r="M184" s="11">
        <f>IF($D184="","",SUMIFS('AYLIK KESİNTİLER'!$E$2:$E$5000,'AYLIK KESİNTİLER'!$A$2:$A$5000,$A184,'AYLIK KESİNTİLER'!$B$2:$B$5000,$D184))</f>
        <v/>
      </c>
      <c r="N184" s="11">
        <f>IF($D184="","",$L184+$M184)</f>
        <v/>
      </c>
      <c r="O184" s="11">
        <f>IF($D184="","",$H184-$N184)</f>
        <v/>
      </c>
      <c r="P184" s="12">
        <f>IF($D184="","",IF($O184&lt;=0,"KAPANDI",IF(COUNTIFS($A$2:$A$200,$A184,$E$2:$E$200,"&lt;"&amp;$E184,$O$2:$O$200,"&gt;0")=0,"ÖDEMEDE","SIRADA")))</f>
        <v/>
      </c>
      <c r="Q184" s="8" t="n"/>
      <c r="R184" s="8" t="n"/>
      <c r="S184">
        <f>IF($D184="","",$A184&amp;"|"&amp;$P184)</f>
        <v/>
      </c>
    </row>
    <row r="185">
      <c r="A185" s="8" t="n"/>
      <c r="B185" s="9" t="n"/>
      <c r="C185" s="10" t="n"/>
      <c r="D185" s="8" t="n"/>
      <c r="E185" s="8" t="n"/>
      <c r="F185" s="8" t="n"/>
      <c r="G185" s="8" t="n"/>
      <c r="H185" s="11" t="n"/>
      <c r="I185" s="8" t="n"/>
      <c r="J185" s="8" t="n"/>
      <c r="K185" s="11" t="n"/>
      <c r="L185" s="11" t="n"/>
      <c r="M185" s="11">
        <f>IF($D185="","",SUMIFS('AYLIK KESİNTİLER'!$E$2:$E$5000,'AYLIK KESİNTİLER'!$A$2:$A$5000,$A185,'AYLIK KESİNTİLER'!$B$2:$B$5000,$D185))</f>
        <v/>
      </c>
      <c r="N185" s="11">
        <f>IF($D185="","",$L185+$M185)</f>
        <v/>
      </c>
      <c r="O185" s="11">
        <f>IF($D185="","",$H185-$N185)</f>
        <v/>
      </c>
      <c r="P185" s="12">
        <f>IF($D185="","",IF($O185&lt;=0,"KAPANDI",IF(COUNTIFS($A$2:$A$200,$A185,$E$2:$E$200,"&lt;"&amp;$E185,$O$2:$O$200,"&gt;0")=0,"ÖDEMEDE","SIRADA")))</f>
        <v/>
      </c>
      <c r="Q185" s="8" t="n"/>
      <c r="R185" s="8" t="n"/>
      <c r="S185">
        <f>IF($D185="","",$A185&amp;"|"&amp;$P185)</f>
        <v/>
      </c>
    </row>
    <row r="186">
      <c r="A186" s="8" t="n"/>
      <c r="B186" s="9" t="n"/>
      <c r="C186" s="10" t="n"/>
      <c r="D186" s="8" t="n"/>
      <c r="E186" s="8" t="n"/>
      <c r="F186" s="8" t="n"/>
      <c r="G186" s="8" t="n"/>
      <c r="H186" s="11" t="n"/>
      <c r="I186" s="8" t="n"/>
      <c r="J186" s="8" t="n"/>
      <c r="K186" s="11" t="n"/>
      <c r="L186" s="11" t="n"/>
      <c r="M186" s="11">
        <f>IF($D186="","",SUMIFS('AYLIK KESİNTİLER'!$E$2:$E$5000,'AYLIK KESİNTİLER'!$A$2:$A$5000,$A186,'AYLIK KESİNTİLER'!$B$2:$B$5000,$D186))</f>
        <v/>
      </c>
      <c r="N186" s="11">
        <f>IF($D186="","",$L186+$M186)</f>
        <v/>
      </c>
      <c r="O186" s="11">
        <f>IF($D186="","",$H186-$N186)</f>
        <v/>
      </c>
      <c r="P186" s="12">
        <f>IF($D186="","",IF($O186&lt;=0,"KAPANDI",IF(COUNTIFS($A$2:$A$200,$A186,$E$2:$E$200,"&lt;"&amp;$E186,$O$2:$O$200,"&gt;0")=0,"ÖDEMEDE","SIRADA")))</f>
        <v/>
      </c>
      <c r="Q186" s="8" t="n"/>
      <c r="R186" s="8" t="n"/>
      <c r="S186">
        <f>IF($D186="","",$A186&amp;"|"&amp;$P186)</f>
        <v/>
      </c>
    </row>
    <row r="187">
      <c r="A187" s="8" t="n"/>
      <c r="B187" s="9" t="n"/>
      <c r="C187" s="10" t="n"/>
      <c r="D187" s="8" t="n"/>
      <c r="E187" s="8" t="n"/>
      <c r="F187" s="8" t="n"/>
      <c r="G187" s="8" t="n"/>
      <c r="H187" s="11" t="n"/>
      <c r="I187" s="8" t="n"/>
      <c r="J187" s="8" t="n"/>
      <c r="K187" s="11" t="n"/>
      <c r="L187" s="11" t="n"/>
      <c r="M187" s="11">
        <f>IF($D187="","",SUMIFS('AYLIK KESİNTİLER'!$E$2:$E$5000,'AYLIK KESİNTİLER'!$A$2:$A$5000,$A187,'AYLIK KESİNTİLER'!$B$2:$B$5000,$D187))</f>
        <v/>
      </c>
      <c r="N187" s="11">
        <f>IF($D187="","",$L187+$M187)</f>
        <v/>
      </c>
      <c r="O187" s="11">
        <f>IF($D187="","",$H187-$N187)</f>
        <v/>
      </c>
      <c r="P187" s="12">
        <f>IF($D187="","",IF($O187&lt;=0,"KAPANDI",IF(COUNTIFS($A$2:$A$200,$A187,$E$2:$E$200,"&lt;"&amp;$E187,$O$2:$O$200,"&gt;0")=0,"ÖDEMEDE","SIRADA")))</f>
        <v/>
      </c>
      <c r="Q187" s="8" t="n"/>
      <c r="R187" s="8" t="n"/>
      <c r="S187">
        <f>IF($D187="","",$A187&amp;"|"&amp;$P187)</f>
        <v/>
      </c>
    </row>
    <row r="188">
      <c r="A188" s="8" t="n"/>
      <c r="B188" s="9" t="n"/>
      <c r="C188" s="10" t="n"/>
      <c r="D188" s="8" t="n"/>
      <c r="E188" s="8" t="n"/>
      <c r="F188" s="8" t="n"/>
      <c r="G188" s="8" t="n"/>
      <c r="H188" s="11" t="n"/>
      <c r="I188" s="8" t="n"/>
      <c r="J188" s="8" t="n"/>
      <c r="K188" s="11" t="n"/>
      <c r="L188" s="11" t="n"/>
      <c r="M188" s="11">
        <f>IF($D188="","",SUMIFS('AYLIK KESİNTİLER'!$E$2:$E$5000,'AYLIK KESİNTİLER'!$A$2:$A$5000,$A188,'AYLIK KESİNTİLER'!$B$2:$B$5000,$D188))</f>
        <v/>
      </c>
      <c r="N188" s="11">
        <f>IF($D188="","",$L188+$M188)</f>
        <v/>
      </c>
      <c r="O188" s="11">
        <f>IF($D188="","",$H188-$N188)</f>
        <v/>
      </c>
      <c r="P188" s="12">
        <f>IF($D188="","",IF($O188&lt;=0,"KAPANDI",IF(COUNTIFS($A$2:$A$200,$A188,$E$2:$E$200,"&lt;"&amp;$E188,$O$2:$O$200,"&gt;0")=0,"ÖDEMEDE","SIRADA")))</f>
        <v/>
      </c>
      <c r="Q188" s="8" t="n"/>
      <c r="R188" s="8" t="n"/>
      <c r="S188">
        <f>IF($D188="","",$A188&amp;"|"&amp;$P188)</f>
        <v/>
      </c>
    </row>
    <row r="189">
      <c r="A189" s="8" t="n"/>
      <c r="B189" s="9" t="n"/>
      <c r="C189" s="10" t="n"/>
      <c r="D189" s="8" t="n"/>
      <c r="E189" s="8" t="n"/>
      <c r="F189" s="8" t="n"/>
      <c r="G189" s="8" t="n"/>
      <c r="H189" s="11" t="n"/>
      <c r="I189" s="8" t="n"/>
      <c r="J189" s="8" t="n"/>
      <c r="K189" s="11" t="n"/>
      <c r="L189" s="11" t="n"/>
      <c r="M189" s="11">
        <f>IF($D189="","",SUMIFS('AYLIK KESİNTİLER'!$E$2:$E$5000,'AYLIK KESİNTİLER'!$A$2:$A$5000,$A189,'AYLIK KESİNTİLER'!$B$2:$B$5000,$D189))</f>
        <v/>
      </c>
      <c r="N189" s="11">
        <f>IF($D189="","",$L189+$M189)</f>
        <v/>
      </c>
      <c r="O189" s="11">
        <f>IF($D189="","",$H189-$N189)</f>
        <v/>
      </c>
      <c r="P189" s="12">
        <f>IF($D189="","",IF($O189&lt;=0,"KAPANDI",IF(COUNTIFS($A$2:$A$200,$A189,$E$2:$E$200,"&lt;"&amp;$E189,$O$2:$O$200,"&gt;0")=0,"ÖDEMEDE","SIRADA")))</f>
        <v/>
      </c>
      <c r="Q189" s="8" t="n"/>
      <c r="R189" s="8" t="n"/>
      <c r="S189">
        <f>IF($D189="","",$A189&amp;"|"&amp;$P189)</f>
        <v/>
      </c>
    </row>
    <row r="190">
      <c r="A190" s="8" t="n"/>
      <c r="B190" s="9" t="n"/>
      <c r="C190" s="10" t="n"/>
      <c r="D190" s="8" t="n"/>
      <c r="E190" s="8" t="n"/>
      <c r="F190" s="8" t="n"/>
      <c r="G190" s="8" t="n"/>
      <c r="H190" s="11" t="n"/>
      <c r="I190" s="8" t="n"/>
      <c r="J190" s="8" t="n"/>
      <c r="K190" s="11" t="n"/>
      <c r="L190" s="11" t="n"/>
      <c r="M190" s="11">
        <f>IF($D190="","",SUMIFS('AYLIK KESİNTİLER'!$E$2:$E$5000,'AYLIK KESİNTİLER'!$A$2:$A$5000,$A190,'AYLIK KESİNTİLER'!$B$2:$B$5000,$D190))</f>
        <v/>
      </c>
      <c r="N190" s="11">
        <f>IF($D190="","",$L190+$M190)</f>
        <v/>
      </c>
      <c r="O190" s="11">
        <f>IF($D190="","",$H190-$N190)</f>
        <v/>
      </c>
      <c r="P190" s="12">
        <f>IF($D190="","",IF($O190&lt;=0,"KAPANDI",IF(COUNTIFS($A$2:$A$200,$A190,$E$2:$E$200,"&lt;"&amp;$E190,$O$2:$O$200,"&gt;0")=0,"ÖDEMEDE","SIRADA")))</f>
        <v/>
      </c>
      <c r="Q190" s="8" t="n"/>
      <c r="R190" s="8" t="n"/>
      <c r="S190">
        <f>IF($D190="","",$A190&amp;"|"&amp;$P190)</f>
        <v/>
      </c>
    </row>
    <row r="191">
      <c r="A191" s="8" t="n"/>
      <c r="B191" s="9" t="n"/>
      <c r="C191" s="10" t="n"/>
      <c r="D191" s="8" t="n"/>
      <c r="E191" s="8" t="n"/>
      <c r="F191" s="8" t="n"/>
      <c r="G191" s="8" t="n"/>
      <c r="H191" s="11" t="n"/>
      <c r="I191" s="8" t="n"/>
      <c r="J191" s="8" t="n"/>
      <c r="K191" s="11" t="n"/>
      <c r="L191" s="11" t="n"/>
      <c r="M191" s="11">
        <f>IF($D191="","",SUMIFS('AYLIK KESİNTİLER'!$E$2:$E$5000,'AYLIK KESİNTİLER'!$A$2:$A$5000,$A191,'AYLIK KESİNTİLER'!$B$2:$B$5000,$D191))</f>
        <v/>
      </c>
      <c r="N191" s="11">
        <f>IF($D191="","",$L191+$M191)</f>
        <v/>
      </c>
      <c r="O191" s="11">
        <f>IF($D191="","",$H191-$N191)</f>
        <v/>
      </c>
      <c r="P191" s="12">
        <f>IF($D191="","",IF($O191&lt;=0,"KAPANDI",IF(COUNTIFS($A$2:$A$200,$A191,$E$2:$E$200,"&lt;"&amp;$E191,$O$2:$O$200,"&gt;0")=0,"ÖDEMEDE","SIRADA")))</f>
        <v/>
      </c>
      <c r="Q191" s="8" t="n"/>
      <c r="R191" s="8" t="n"/>
      <c r="S191">
        <f>IF($D191="","",$A191&amp;"|"&amp;$P191)</f>
        <v/>
      </c>
    </row>
    <row r="192">
      <c r="A192" s="8" t="n"/>
      <c r="B192" s="9" t="n"/>
      <c r="C192" s="10" t="n"/>
      <c r="D192" s="8" t="n"/>
      <c r="E192" s="8" t="n"/>
      <c r="F192" s="8" t="n"/>
      <c r="G192" s="8" t="n"/>
      <c r="H192" s="11" t="n"/>
      <c r="I192" s="8" t="n"/>
      <c r="J192" s="8" t="n"/>
      <c r="K192" s="11" t="n"/>
      <c r="L192" s="11" t="n"/>
      <c r="M192" s="11">
        <f>IF($D192="","",SUMIFS('AYLIK KESİNTİLER'!$E$2:$E$5000,'AYLIK KESİNTİLER'!$A$2:$A$5000,$A192,'AYLIK KESİNTİLER'!$B$2:$B$5000,$D192))</f>
        <v/>
      </c>
      <c r="N192" s="11">
        <f>IF($D192="","",$L192+$M192)</f>
        <v/>
      </c>
      <c r="O192" s="11">
        <f>IF($D192="","",$H192-$N192)</f>
        <v/>
      </c>
      <c r="P192" s="12">
        <f>IF($D192="","",IF($O192&lt;=0,"KAPANDI",IF(COUNTIFS($A$2:$A$200,$A192,$E$2:$E$200,"&lt;"&amp;$E192,$O$2:$O$200,"&gt;0")=0,"ÖDEMEDE","SIRADA")))</f>
        <v/>
      </c>
      <c r="Q192" s="8" t="n"/>
      <c r="R192" s="8" t="n"/>
      <c r="S192">
        <f>IF($D192="","",$A192&amp;"|"&amp;$P192)</f>
        <v/>
      </c>
    </row>
    <row r="193">
      <c r="A193" s="8" t="n"/>
      <c r="B193" s="9" t="n"/>
      <c r="C193" s="10" t="n"/>
      <c r="D193" s="8" t="n"/>
      <c r="E193" s="8" t="n"/>
      <c r="F193" s="8" t="n"/>
      <c r="G193" s="8" t="n"/>
      <c r="H193" s="11" t="n"/>
      <c r="I193" s="8" t="n"/>
      <c r="J193" s="8" t="n"/>
      <c r="K193" s="11" t="n"/>
      <c r="L193" s="11" t="n"/>
      <c r="M193" s="11">
        <f>IF($D193="","",SUMIFS('AYLIK KESİNTİLER'!$E$2:$E$5000,'AYLIK KESİNTİLER'!$A$2:$A$5000,$A193,'AYLIK KESİNTİLER'!$B$2:$B$5000,$D193))</f>
        <v/>
      </c>
      <c r="N193" s="11">
        <f>IF($D193="","",$L193+$M193)</f>
        <v/>
      </c>
      <c r="O193" s="11">
        <f>IF($D193="","",$H193-$N193)</f>
        <v/>
      </c>
      <c r="P193" s="12">
        <f>IF($D193="","",IF($O193&lt;=0,"KAPANDI",IF(COUNTIFS($A$2:$A$200,$A193,$E$2:$E$200,"&lt;"&amp;$E193,$O$2:$O$200,"&gt;0")=0,"ÖDEMEDE","SIRADA")))</f>
        <v/>
      </c>
      <c r="Q193" s="8" t="n"/>
      <c r="R193" s="8" t="n"/>
      <c r="S193">
        <f>IF($D193="","",$A193&amp;"|"&amp;$P193)</f>
        <v/>
      </c>
    </row>
    <row r="194">
      <c r="A194" s="8" t="n"/>
      <c r="B194" s="9" t="n"/>
      <c r="C194" s="10" t="n"/>
      <c r="D194" s="8" t="n"/>
      <c r="E194" s="8" t="n"/>
      <c r="F194" s="8" t="n"/>
      <c r="G194" s="8" t="n"/>
      <c r="H194" s="11" t="n"/>
      <c r="I194" s="8" t="n"/>
      <c r="J194" s="8" t="n"/>
      <c r="K194" s="11" t="n"/>
      <c r="L194" s="11" t="n"/>
      <c r="M194" s="11">
        <f>IF($D194="","",SUMIFS('AYLIK KESİNTİLER'!$E$2:$E$5000,'AYLIK KESİNTİLER'!$A$2:$A$5000,$A194,'AYLIK KESİNTİLER'!$B$2:$B$5000,$D194))</f>
        <v/>
      </c>
      <c r="N194" s="11">
        <f>IF($D194="","",$L194+$M194)</f>
        <v/>
      </c>
      <c r="O194" s="11">
        <f>IF($D194="","",$H194-$N194)</f>
        <v/>
      </c>
      <c r="P194" s="12">
        <f>IF($D194="","",IF($O194&lt;=0,"KAPANDI",IF(COUNTIFS($A$2:$A$200,$A194,$E$2:$E$200,"&lt;"&amp;$E194,$O$2:$O$200,"&gt;0")=0,"ÖDEMEDE","SIRADA")))</f>
        <v/>
      </c>
      <c r="Q194" s="8" t="n"/>
      <c r="R194" s="8" t="n"/>
      <c r="S194">
        <f>IF($D194="","",$A194&amp;"|"&amp;$P194)</f>
        <v/>
      </c>
    </row>
    <row r="195">
      <c r="A195" s="8" t="n"/>
      <c r="B195" s="9" t="n"/>
      <c r="C195" s="10" t="n"/>
      <c r="D195" s="8" t="n"/>
      <c r="E195" s="8" t="n"/>
      <c r="F195" s="8" t="n"/>
      <c r="G195" s="8" t="n"/>
      <c r="H195" s="11" t="n"/>
      <c r="I195" s="8" t="n"/>
      <c r="J195" s="8" t="n"/>
      <c r="K195" s="11" t="n"/>
      <c r="L195" s="11" t="n"/>
      <c r="M195" s="11">
        <f>IF($D195="","",SUMIFS('AYLIK KESİNTİLER'!$E$2:$E$5000,'AYLIK KESİNTİLER'!$A$2:$A$5000,$A195,'AYLIK KESİNTİLER'!$B$2:$B$5000,$D195))</f>
        <v/>
      </c>
      <c r="N195" s="11">
        <f>IF($D195="","",$L195+$M195)</f>
        <v/>
      </c>
      <c r="O195" s="11">
        <f>IF($D195="","",$H195-$N195)</f>
        <v/>
      </c>
      <c r="P195" s="12">
        <f>IF($D195="","",IF($O195&lt;=0,"KAPANDI",IF(COUNTIFS($A$2:$A$200,$A195,$E$2:$E$200,"&lt;"&amp;$E195,$O$2:$O$200,"&gt;0")=0,"ÖDEMEDE","SIRADA")))</f>
        <v/>
      </c>
      <c r="Q195" s="8" t="n"/>
      <c r="R195" s="8" t="n"/>
      <c r="S195">
        <f>IF($D195="","",$A195&amp;"|"&amp;$P195)</f>
        <v/>
      </c>
    </row>
    <row r="196">
      <c r="A196" s="8" t="n"/>
      <c r="B196" s="9" t="n"/>
      <c r="C196" s="10" t="n"/>
      <c r="D196" s="8" t="n"/>
      <c r="E196" s="8" t="n"/>
      <c r="F196" s="8" t="n"/>
      <c r="G196" s="8" t="n"/>
      <c r="H196" s="11" t="n"/>
      <c r="I196" s="8" t="n"/>
      <c r="J196" s="8" t="n"/>
      <c r="K196" s="11" t="n"/>
      <c r="L196" s="11" t="n"/>
      <c r="M196" s="11">
        <f>IF($D196="","",SUMIFS('AYLIK KESİNTİLER'!$E$2:$E$5000,'AYLIK KESİNTİLER'!$A$2:$A$5000,$A196,'AYLIK KESİNTİLER'!$B$2:$B$5000,$D196))</f>
        <v/>
      </c>
      <c r="N196" s="11">
        <f>IF($D196="","",$L196+$M196)</f>
        <v/>
      </c>
      <c r="O196" s="11">
        <f>IF($D196="","",$H196-$N196)</f>
        <v/>
      </c>
      <c r="P196" s="12">
        <f>IF($D196="","",IF($O196&lt;=0,"KAPANDI",IF(COUNTIFS($A$2:$A$200,$A196,$E$2:$E$200,"&lt;"&amp;$E196,$O$2:$O$200,"&gt;0")=0,"ÖDEMEDE","SIRADA")))</f>
        <v/>
      </c>
      <c r="Q196" s="8" t="n"/>
      <c r="R196" s="8" t="n"/>
      <c r="S196">
        <f>IF($D196="","",$A196&amp;"|"&amp;$P196)</f>
        <v/>
      </c>
    </row>
    <row r="197">
      <c r="A197" s="8" t="n"/>
      <c r="B197" s="9" t="n"/>
      <c r="C197" s="10" t="n"/>
      <c r="D197" s="8" t="n"/>
      <c r="E197" s="8" t="n"/>
      <c r="F197" s="8" t="n"/>
      <c r="G197" s="8" t="n"/>
      <c r="H197" s="11" t="n"/>
      <c r="I197" s="8" t="n"/>
      <c r="J197" s="8" t="n"/>
      <c r="K197" s="11" t="n"/>
      <c r="L197" s="11" t="n"/>
      <c r="M197" s="11">
        <f>IF($D197="","",SUMIFS('AYLIK KESİNTİLER'!$E$2:$E$5000,'AYLIK KESİNTİLER'!$A$2:$A$5000,$A197,'AYLIK KESİNTİLER'!$B$2:$B$5000,$D197))</f>
        <v/>
      </c>
      <c r="N197" s="11">
        <f>IF($D197="","",$L197+$M197)</f>
        <v/>
      </c>
      <c r="O197" s="11">
        <f>IF($D197="","",$H197-$N197)</f>
        <v/>
      </c>
      <c r="P197" s="12">
        <f>IF($D197="","",IF($O197&lt;=0,"KAPANDI",IF(COUNTIFS($A$2:$A$200,$A197,$E$2:$E$200,"&lt;"&amp;$E197,$O$2:$O$200,"&gt;0")=0,"ÖDEMEDE","SIRADA")))</f>
        <v/>
      </c>
      <c r="Q197" s="8" t="n"/>
      <c r="R197" s="8" t="n"/>
      <c r="S197">
        <f>IF($D197="","",$A197&amp;"|"&amp;$P197)</f>
        <v/>
      </c>
    </row>
    <row r="198">
      <c r="A198" s="8" t="n"/>
      <c r="B198" s="9" t="n"/>
      <c r="C198" s="10" t="n"/>
      <c r="D198" s="8" t="n"/>
      <c r="E198" s="8" t="n"/>
      <c r="F198" s="8" t="n"/>
      <c r="G198" s="8" t="n"/>
      <c r="H198" s="11" t="n"/>
      <c r="I198" s="8" t="n"/>
      <c r="J198" s="8" t="n"/>
      <c r="K198" s="11" t="n"/>
      <c r="L198" s="11" t="n"/>
      <c r="M198" s="11">
        <f>IF($D198="","",SUMIFS('AYLIK KESİNTİLER'!$E$2:$E$5000,'AYLIK KESİNTİLER'!$A$2:$A$5000,$A198,'AYLIK KESİNTİLER'!$B$2:$B$5000,$D198))</f>
        <v/>
      </c>
      <c r="N198" s="11">
        <f>IF($D198="","",$L198+$M198)</f>
        <v/>
      </c>
      <c r="O198" s="11">
        <f>IF($D198="","",$H198-$N198)</f>
        <v/>
      </c>
      <c r="P198" s="12">
        <f>IF($D198="","",IF($O198&lt;=0,"KAPANDI",IF(COUNTIFS($A$2:$A$200,$A198,$E$2:$E$200,"&lt;"&amp;$E198,$O$2:$O$200,"&gt;0")=0,"ÖDEMEDE","SIRADA")))</f>
        <v/>
      </c>
      <c r="Q198" s="8" t="n"/>
      <c r="R198" s="8" t="n"/>
      <c r="S198">
        <f>IF($D198="","",$A198&amp;"|"&amp;$P198)</f>
        <v/>
      </c>
    </row>
    <row r="199">
      <c r="A199" s="8" t="n"/>
      <c r="B199" s="9" t="n"/>
      <c r="C199" s="10" t="n"/>
      <c r="D199" s="8" t="n"/>
      <c r="E199" s="8" t="n"/>
      <c r="F199" s="8" t="n"/>
      <c r="G199" s="8" t="n"/>
      <c r="H199" s="11" t="n"/>
      <c r="I199" s="8" t="n"/>
      <c r="J199" s="8" t="n"/>
      <c r="K199" s="11" t="n"/>
      <c r="L199" s="11" t="n"/>
      <c r="M199" s="11">
        <f>IF($D199="","",SUMIFS('AYLIK KESİNTİLER'!$E$2:$E$5000,'AYLIK KESİNTİLER'!$A$2:$A$5000,$A199,'AYLIK KESİNTİLER'!$B$2:$B$5000,$D199))</f>
        <v/>
      </c>
      <c r="N199" s="11">
        <f>IF($D199="","",$L199+$M199)</f>
        <v/>
      </c>
      <c r="O199" s="11">
        <f>IF($D199="","",$H199-$N199)</f>
        <v/>
      </c>
      <c r="P199" s="12">
        <f>IF($D199="","",IF($O199&lt;=0,"KAPANDI",IF(COUNTIFS($A$2:$A$200,$A199,$E$2:$E$200,"&lt;"&amp;$E199,$O$2:$O$200,"&gt;0")=0,"ÖDEMEDE","SIRADA")))</f>
        <v/>
      </c>
      <c r="Q199" s="8" t="n"/>
      <c r="R199" s="8" t="n"/>
      <c r="S199">
        <f>IF($D199="","",$A199&amp;"|"&amp;$P199)</f>
        <v/>
      </c>
    </row>
    <row r="200">
      <c r="A200" s="8" t="n"/>
      <c r="B200" s="9" t="n"/>
      <c r="C200" s="10" t="n"/>
      <c r="D200" s="8" t="n"/>
      <c r="E200" s="8" t="n"/>
      <c r="F200" s="8" t="n"/>
      <c r="G200" s="8" t="n"/>
      <c r="H200" s="11" t="n"/>
      <c r="I200" s="8" t="n"/>
      <c r="J200" s="8" t="n"/>
      <c r="K200" s="11" t="n"/>
      <c r="L200" s="11" t="n"/>
      <c r="M200" s="11">
        <f>IF($D200="","",SUMIFS('AYLIK KESİNTİLER'!$E$2:$E$5000,'AYLIK KESİNTİLER'!$A$2:$A$5000,$A200,'AYLIK KESİNTİLER'!$B$2:$B$5000,$D200))</f>
        <v/>
      </c>
      <c r="N200" s="11">
        <f>IF($D200="","",$L200+$M200)</f>
        <v/>
      </c>
      <c r="O200" s="11">
        <f>IF($D200="","",$H200-$N200)</f>
        <v/>
      </c>
      <c r="P200" s="12">
        <f>IF($D200="","",IF($O200&lt;=0,"KAPANDI",IF(COUNTIFS($A$2:$A$200,$A200,$E$2:$E$200,"&lt;"&amp;$E200,$O$2:$O$200,"&gt;0")=0,"ÖDEMEDE","SIRADA")))</f>
        <v/>
      </c>
      <c r="Q200" s="8" t="n"/>
      <c r="R200" s="8" t="n"/>
      <c r="S200">
        <f>IF($D200="","",$A200&amp;"|"&amp;$P200)</f>
        <v/>
      </c>
    </row>
  </sheetData>
  <autoFilter ref="A1:R200"/>
  <conditionalFormatting sqref="P2:P200">
    <cfRule type="cellIs" priority="1" operator="equal" dxfId="0">
      <formula>"ÖDEMEDE"</formula>
    </cfRule>
    <cfRule type="cellIs" priority="2" operator="equal" dxfId="1">
      <formula>"SIRADA"</formula>
    </cfRule>
    <cfRule type="cellIs" priority="3" operator="equal" dxfId="2">
      <formula>"KAPANDI"</formula>
    </cfRule>
  </conditionalFormatting>
  <dataValidations count="2">
    <dataValidation sqref="I2:I200" showDropDown="0" showInputMessage="0" showErrorMessage="0" allowBlank="1" prompt="Kesinti maaşın oranı mı (örn. 1/4) yoksa sabit tutar mı?" type="list">
      <formula1>"Oran,Sabit Tutar"</formula1>
    </dataValidation>
    <dataValidation sqref="E2:E200" showDropDown="0" showInputMessage="0" showErrorMessage="0" allowBlank="1" errorTitle="Öncelik Sırası" error="1 veya daha büyük tam sayı girin (1 = ilk kesilecek dosya)." type="whole" operator="greaterThanOrEqual">
      <formula1>1</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F5000"/>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1" customWidth="1" min="3" max="3"/>
    <col width="15" customWidth="1" min="4" max="4"/>
    <col width="15" customWidth="1" min="5" max="5"/>
    <col width="30" customWidth="1" min="6" max="6"/>
  </cols>
  <sheetData>
    <row r="1" ht="32" customHeight="1">
      <c r="A1" s="6" t="inlineStr">
        <is>
          <t>Personel Adı Soyadı</t>
        </is>
      </c>
      <c r="B1" s="6" t="inlineStr">
        <is>
          <t>Dosya Numarası</t>
        </is>
      </c>
      <c r="C1" s="6" t="inlineStr">
        <is>
          <t>Kesinti Yılı</t>
        </is>
      </c>
      <c r="D1" s="6" t="inlineStr">
        <is>
          <t>Kesinti Dönemi (Ay)</t>
        </is>
      </c>
      <c r="E1" s="6" t="inlineStr">
        <is>
          <t>Kesinti Tutarı (TL)</t>
        </is>
      </c>
      <c r="F1" s="6" t="inlineStr">
        <is>
          <t>Açıklama</t>
        </is>
      </c>
    </row>
    <row r="2">
      <c r="A2" s="8" t="inlineStr">
        <is>
          <t>MERT TÜZE</t>
        </is>
      </c>
      <c r="B2" s="8" t="inlineStr">
        <is>
          <t>2025/203385</t>
        </is>
      </c>
      <c r="C2" s="8" t="n">
        <v>2026</v>
      </c>
      <c r="D2" s="8" t="inlineStr">
        <is>
          <t>Şubat</t>
        </is>
      </c>
      <c r="E2" s="11" t="n">
        <v>7018.88</v>
      </c>
      <c r="F2" s="8" t="inlineStr">
        <is>
          <t>ÖRNEK KAYIT</t>
        </is>
      </c>
    </row>
    <row r="3">
      <c r="A3" s="8" t="inlineStr">
        <is>
          <t>MERT TÜZE</t>
        </is>
      </c>
      <c r="B3" s="8" t="inlineStr">
        <is>
          <t>2025/203385</t>
        </is>
      </c>
      <c r="C3" s="8" t="n">
        <v>2026</v>
      </c>
      <c r="D3" s="8" t="inlineStr">
        <is>
          <t>Mart</t>
        </is>
      </c>
      <c r="E3" s="11" t="n">
        <v>7018.88</v>
      </c>
      <c r="F3" s="8" t="inlineStr">
        <is>
          <t>ÖRNEK KAYIT</t>
        </is>
      </c>
    </row>
    <row r="4">
      <c r="A4" s="8" t="inlineStr">
        <is>
          <t>MERT TÜZE</t>
        </is>
      </c>
      <c r="B4" s="8" t="inlineStr">
        <is>
          <t>2025/203385</t>
        </is>
      </c>
      <c r="C4" s="8" t="n">
        <v>2026</v>
      </c>
      <c r="D4" s="8" t="inlineStr">
        <is>
          <t>Nisan</t>
        </is>
      </c>
      <c r="E4" s="11" t="n">
        <v>7018.88</v>
      </c>
      <c r="F4" s="8" t="inlineStr">
        <is>
          <t>ÖRNEK KAYIT</t>
        </is>
      </c>
    </row>
    <row r="5">
      <c r="A5" s="8" t="inlineStr">
        <is>
          <t>AHMET BAŞOĞLU</t>
        </is>
      </c>
      <c r="B5" s="8" t="inlineStr">
        <is>
          <t>2025/55555</t>
        </is>
      </c>
      <c r="C5" s="8" t="n">
        <v>2026</v>
      </c>
      <c r="D5" s="8" t="inlineStr">
        <is>
          <t>Haziran</t>
        </is>
      </c>
      <c r="E5" s="11" t="n">
        <v>6000</v>
      </c>
      <c r="F5" s="8" t="inlineStr">
        <is>
          <t>ÖRNEK KAYIT</t>
        </is>
      </c>
    </row>
    <row r="6">
      <c r="A6" s="8" t="n"/>
      <c r="B6" s="8" t="n"/>
      <c r="C6" s="8" t="n"/>
      <c r="D6" s="8" t="n"/>
      <c r="E6" s="11" t="n"/>
      <c r="F6" s="8" t="n"/>
    </row>
    <row r="7">
      <c r="A7" s="8" t="n"/>
      <c r="B7" s="8" t="n"/>
      <c r="C7" s="8" t="n"/>
      <c r="D7" s="8" t="n"/>
      <c r="E7" s="11" t="n"/>
      <c r="F7" s="8" t="n"/>
    </row>
    <row r="8">
      <c r="A8" s="8" t="n"/>
      <c r="B8" s="8" t="n"/>
      <c r="C8" s="8" t="n"/>
      <c r="D8" s="8" t="n"/>
      <c r="E8" s="11" t="n"/>
      <c r="F8" s="8" t="n"/>
    </row>
    <row r="9">
      <c r="A9" s="8" t="n"/>
      <c r="B9" s="8" t="n"/>
      <c r="C9" s="8" t="n"/>
      <c r="D9" s="8" t="n"/>
      <c r="E9" s="11" t="n"/>
      <c r="F9" s="8" t="n"/>
    </row>
    <row r="10">
      <c r="A10" s="8" t="n"/>
      <c r="B10" s="8" t="n"/>
      <c r="C10" s="8" t="n"/>
      <c r="D10" s="8" t="n"/>
      <c r="E10" s="11" t="n"/>
      <c r="F10" s="8" t="n"/>
    </row>
    <row r="11">
      <c r="A11" s="8" t="n"/>
      <c r="B11" s="8" t="n"/>
      <c r="C11" s="8" t="n"/>
      <c r="D11" s="8" t="n"/>
      <c r="E11" s="11" t="n"/>
      <c r="F11" s="8" t="n"/>
    </row>
    <row r="12">
      <c r="A12" s="8" t="n"/>
      <c r="B12" s="8" t="n"/>
      <c r="C12" s="8" t="n"/>
      <c r="D12" s="8" t="n"/>
      <c r="E12" s="11" t="n"/>
      <c r="F12" s="8" t="n"/>
    </row>
    <row r="13">
      <c r="A13" s="8" t="n"/>
      <c r="B13" s="8" t="n"/>
      <c r="C13" s="8" t="n"/>
      <c r="D13" s="8" t="n"/>
      <c r="E13" s="11" t="n"/>
      <c r="F13" s="8" t="n"/>
    </row>
    <row r="14">
      <c r="A14" s="8" t="n"/>
      <c r="B14" s="8" t="n"/>
      <c r="C14" s="8" t="n"/>
      <c r="D14" s="8" t="n"/>
      <c r="E14" s="11" t="n"/>
      <c r="F14" s="8" t="n"/>
    </row>
    <row r="15">
      <c r="A15" s="8" t="n"/>
      <c r="B15" s="8" t="n"/>
      <c r="C15" s="8" t="n"/>
      <c r="D15" s="8" t="n"/>
      <c r="E15" s="11" t="n"/>
      <c r="F15" s="8" t="n"/>
    </row>
    <row r="16">
      <c r="A16" s="8" t="n"/>
      <c r="B16" s="8" t="n"/>
      <c r="C16" s="8" t="n"/>
      <c r="D16" s="8" t="n"/>
      <c r="E16" s="11" t="n"/>
      <c r="F16" s="8" t="n"/>
    </row>
    <row r="17">
      <c r="A17" s="8" t="n"/>
      <c r="B17" s="8" t="n"/>
      <c r="C17" s="8" t="n"/>
      <c r="D17" s="8" t="n"/>
      <c r="E17" s="11" t="n"/>
      <c r="F17" s="8" t="n"/>
    </row>
    <row r="18">
      <c r="A18" s="8" t="n"/>
      <c r="B18" s="8" t="n"/>
      <c r="C18" s="8" t="n"/>
      <c r="D18" s="8" t="n"/>
      <c r="E18" s="11" t="n"/>
      <c r="F18" s="8" t="n"/>
    </row>
    <row r="19">
      <c r="A19" s="8" t="n"/>
      <c r="B19" s="8" t="n"/>
      <c r="C19" s="8" t="n"/>
      <c r="D19" s="8" t="n"/>
      <c r="E19" s="11" t="n"/>
      <c r="F19" s="8" t="n"/>
    </row>
    <row r="20">
      <c r="A20" s="8" t="n"/>
      <c r="B20" s="8" t="n"/>
      <c r="C20" s="8" t="n"/>
      <c r="D20" s="8" t="n"/>
      <c r="E20" s="11" t="n"/>
      <c r="F20" s="8" t="n"/>
    </row>
    <row r="21">
      <c r="A21" s="8" t="n"/>
      <c r="B21" s="8" t="n"/>
      <c r="C21" s="8" t="n"/>
      <c r="D21" s="8" t="n"/>
      <c r="E21" s="11" t="n"/>
      <c r="F21" s="8" t="n"/>
    </row>
    <row r="22">
      <c r="A22" s="8" t="n"/>
      <c r="B22" s="8" t="n"/>
      <c r="C22" s="8" t="n"/>
      <c r="D22" s="8" t="n"/>
      <c r="E22" s="11" t="n"/>
      <c r="F22" s="8" t="n"/>
    </row>
    <row r="23">
      <c r="A23" s="8" t="n"/>
      <c r="B23" s="8" t="n"/>
      <c r="C23" s="8" t="n"/>
      <c r="D23" s="8" t="n"/>
      <c r="E23" s="11" t="n"/>
      <c r="F23" s="8" t="n"/>
    </row>
    <row r="24">
      <c r="A24" s="8" t="n"/>
      <c r="B24" s="8" t="n"/>
      <c r="C24" s="8" t="n"/>
      <c r="D24" s="8" t="n"/>
      <c r="E24" s="11" t="n"/>
      <c r="F24" s="8" t="n"/>
    </row>
    <row r="25">
      <c r="A25" s="8" t="n"/>
      <c r="B25" s="8" t="n"/>
      <c r="C25" s="8" t="n"/>
      <c r="D25" s="8" t="n"/>
      <c r="E25" s="11" t="n"/>
      <c r="F25" s="8" t="n"/>
    </row>
    <row r="26">
      <c r="A26" s="8" t="n"/>
      <c r="B26" s="8" t="n"/>
      <c r="C26" s="8" t="n"/>
      <c r="D26" s="8" t="n"/>
      <c r="E26" s="11" t="n"/>
      <c r="F26" s="8" t="n"/>
    </row>
    <row r="27">
      <c r="A27" s="8" t="n"/>
      <c r="B27" s="8" t="n"/>
      <c r="C27" s="8" t="n"/>
      <c r="D27" s="8" t="n"/>
      <c r="E27" s="11" t="n"/>
      <c r="F27" s="8" t="n"/>
    </row>
    <row r="28">
      <c r="A28" s="8" t="n"/>
      <c r="B28" s="8" t="n"/>
      <c r="C28" s="8" t="n"/>
      <c r="D28" s="8" t="n"/>
      <c r="E28" s="11" t="n"/>
      <c r="F28" s="8" t="n"/>
    </row>
    <row r="29">
      <c r="A29" s="8" t="n"/>
      <c r="B29" s="8" t="n"/>
      <c r="C29" s="8" t="n"/>
      <c r="D29" s="8" t="n"/>
      <c r="E29" s="11" t="n"/>
      <c r="F29" s="8" t="n"/>
    </row>
    <row r="30">
      <c r="A30" s="8" t="n"/>
      <c r="B30" s="8" t="n"/>
      <c r="C30" s="8" t="n"/>
      <c r="D30" s="8" t="n"/>
      <c r="E30" s="11" t="n"/>
      <c r="F30" s="8" t="n"/>
    </row>
    <row r="31">
      <c r="A31" s="8" t="n"/>
      <c r="B31" s="8" t="n"/>
      <c r="C31" s="8" t="n"/>
      <c r="D31" s="8" t="n"/>
      <c r="E31" s="11" t="n"/>
      <c r="F31" s="8" t="n"/>
    </row>
    <row r="32">
      <c r="A32" s="8" t="n"/>
      <c r="B32" s="8" t="n"/>
      <c r="C32" s="8" t="n"/>
      <c r="D32" s="8" t="n"/>
      <c r="E32" s="11" t="n"/>
      <c r="F32" s="8" t="n"/>
    </row>
    <row r="33">
      <c r="A33" s="8" t="n"/>
      <c r="B33" s="8" t="n"/>
      <c r="C33" s="8" t="n"/>
      <c r="D33" s="8" t="n"/>
      <c r="E33" s="11" t="n"/>
      <c r="F33" s="8" t="n"/>
    </row>
    <row r="34">
      <c r="A34" s="8" t="n"/>
      <c r="B34" s="8" t="n"/>
      <c r="C34" s="8" t="n"/>
      <c r="D34" s="8" t="n"/>
      <c r="E34" s="11" t="n"/>
      <c r="F34" s="8" t="n"/>
    </row>
    <row r="35">
      <c r="A35" s="8" t="n"/>
      <c r="B35" s="8" t="n"/>
      <c r="C35" s="8" t="n"/>
      <c r="D35" s="8" t="n"/>
      <c r="E35" s="11" t="n"/>
      <c r="F35" s="8" t="n"/>
    </row>
    <row r="36">
      <c r="A36" s="8" t="n"/>
      <c r="B36" s="8" t="n"/>
      <c r="C36" s="8" t="n"/>
      <c r="D36" s="8" t="n"/>
      <c r="E36" s="11" t="n"/>
      <c r="F36" s="8" t="n"/>
    </row>
    <row r="37">
      <c r="A37" s="8" t="n"/>
      <c r="B37" s="8" t="n"/>
      <c r="C37" s="8" t="n"/>
      <c r="D37" s="8" t="n"/>
      <c r="E37" s="11" t="n"/>
      <c r="F37" s="8" t="n"/>
    </row>
    <row r="38">
      <c r="A38" s="8" t="n"/>
      <c r="B38" s="8" t="n"/>
      <c r="C38" s="8" t="n"/>
      <c r="D38" s="8" t="n"/>
      <c r="E38" s="11" t="n"/>
      <c r="F38" s="8" t="n"/>
    </row>
    <row r="39">
      <c r="A39" s="8" t="n"/>
      <c r="B39" s="8" t="n"/>
      <c r="C39" s="8" t="n"/>
      <c r="D39" s="8" t="n"/>
      <c r="E39" s="11" t="n"/>
      <c r="F39" s="8" t="n"/>
    </row>
    <row r="40">
      <c r="A40" s="8" t="n"/>
      <c r="B40" s="8" t="n"/>
      <c r="C40" s="8" t="n"/>
      <c r="D40" s="8" t="n"/>
      <c r="E40" s="11" t="n"/>
      <c r="F40" s="8" t="n"/>
    </row>
    <row r="41">
      <c r="A41" s="8" t="n"/>
      <c r="B41" s="8" t="n"/>
      <c r="C41" s="8" t="n"/>
      <c r="D41" s="8" t="n"/>
      <c r="E41" s="11" t="n"/>
      <c r="F41" s="8" t="n"/>
    </row>
    <row r="42">
      <c r="A42" s="8" t="n"/>
      <c r="B42" s="8" t="n"/>
      <c r="C42" s="8" t="n"/>
      <c r="D42" s="8" t="n"/>
      <c r="E42" s="11" t="n"/>
      <c r="F42" s="8" t="n"/>
    </row>
    <row r="43">
      <c r="A43" s="8" t="n"/>
      <c r="B43" s="8" t="n"/>
      <c r="C43" s="8" t="n"/>
      <c r="D43" s="8" t="n"/>
      <c r="E43" s="11" t="n"/>
      <c r="F43" s="8" t="n"/>
    </row>
    <row r="44">
      <c r="A44" s="8" t="n"/>
      <c r="B44" s="8" t="n"/>
      <c r="C44" s="8" t="n"/>
      <c r="D44" s="8" t="n"/>
      <c r="E44" s="11" t="n"/>
      <c r="F44" s="8" t="n"/>
    </row>
    <row r="45">
      <c r="A45" s="8" t="n"/>
      <c r="B45" s="8" t="n"/>
      <c r="C45" s="8" t="n"/>
      <c r="D45" s="8" t="n"/>
      <c r="E45" s="11" t="n"/>
      <c r="F45" s="8" t="n"/>
    </row>
    <row r="46">
      <c r="A46" s="8" t="n"/>
      <c r="B46" s="8" t="n"/>
      <c r="C46" s="8" t="n"/>
      <c r="D46" s="8" t="n"/>
      <c r="E46" s="11" t="n"/>
      <c r="F46" s="8" t="n"/>
    </row>
    <row r="47">
      <c r="A47" s="8" t="n"/>
      <c r="B47" s="8" t="n"/>
      <c r="C47" s="8" t="n"/>
      <c r="D47" s="8" t="n"/>
      <c r="E47" s="11" t="n"/>
      <c r="F47" s="8" t="n"/>
    </row>
    <row r="48">
      <c r="A48" s="8" t="n"/>
      <c r="B48" s="8" t="n"/>
      <c r="C48" s="8" t="n"/>
      <c r="D48" s="8" t="n"/>
      <c r="E48" s="11" t="n"/>
      <c r="F48" s="8" t="n"/>
    </row>
    <row r="49">
      <c r="A49" s="8" t="n"/>
      <c r="B49" s="8" t="n"/>
      <c r="C49" s="8" t="n"/>
      <c r="D49" s="8" t="n"/>
      <c r="E49" s="11" t="n"/>
      <c r="F49" s="8" t="n"/>
    </row>
    <row r="50">
      <c r="A50" s="8" t="n"/>
      <c r="B50" s="8" t="n"/>
      <c r="C50" s="8" t="n"/>
      <c r="D50" s="8" t="n"/>
      <c r="E50" s="11" t="n"/>
      <c r="F50" s="8" t="n"/>
    </row>
    <row r="51">
      <c r="A51" s="8" t="n"/>
      <c r="B51" s="8" t="n"/>
      <c r="C51" s="8" t="n"/>
      <c r="D51" s="8" t="n"/>
      <c r="E51" s="11" t="n"/>
      <c r="F51" s="8" t="n"/>
    </row>
    <row r="52">
      <c r="A52" s="8" t="n"/>
      <c r="B52" s="8" t="n"/>
      <c r="C52" s="8" t="n"/>
      <c r="D52" s="8" t="n"/>
      <c r="E52" s="11" t="n"/>
      <c r="F52" s="8" t="n"/>
    </row>
    <row r="53">
      <c r="A53" s="8" t="n"/>
      <c r="B53" s="8" t="n"/>
      <c r="C53" s="8" t="n"/>
      <c r="D53" s="8" t="n"/>
      <c r="E53" s="11" t="n"/>
      <c r="F53" s="8" t="n"/>
    </row>
    <row r="54">
      <c r="A54" s="8" t="n"/>
      <c r="B54" s="8" t="n"/>
      <c r="C54" s="8" t="n"/>
      <c r="D54" s="8" t="n"/>
      <c r="E54" s="11" t="n"/>
      <c r="F54" s="8" t="n"/>
    </row>
    <row r="55">
      <c r="A55" s="8" t="n"/>
      <c r="B55" s="8" t="n"/>
      <c r="C55" s="8" t="n"/>
      <c r="D55" s="8" t="n"/>
      <c r="E55" s="11" t="n"/>
      <c r="F55" s="8" t="n"/>
    </row>
    <row r="56">
      <c r="A56" s="8" t="n"/>
      <c r="B56" s="8" t="n"/>
      <c r="C56" s="8" t="n"/>
      <c r="D56" s="8" t="n"/>
      <c r="E56" s="11" t="n"/>
      <c r="F56" s="8" t="n"/>
    </row>
    <row r="57">
      <c r="A57" s="8" t="n"/>
      <c r="B57" s="8" t="n"/>
      <c r="C57" s="8" t="n"/>
      <c r="D57" s="8" t="n"/>
      <c r="E57" s="11" t="n"/>
      <c r="F57" s="8" t="n"/>
    </row>
    <row r="58">
      <c r="A58" s="8" t="n"/>
      <c r="B58" s="8" t="n"/>
      <c r="C58" s="8" t="n"/>
      <c r="D58" s="8" t="n"/>
      <c r="E58" s="11" t="n"/>
      <c r="F58" s="8" t="n"/>
    </row>
    <row r="59">
      <c r="A59" s="8" t="n"/>
      <c r="B59" s="8" t="n"/>
      <c r="C59" s="8" t="n"/>
      <c r="D59" s="8" t="n"/>
      <c r="E59" s="11" t="n"/>
      <c r="F59" s="8" t="n"/>
    </row>
    <row r="60">
      <c r="A60" s="8" t="n"/>
      <c r="B60" s="8" t="n"/>
      <c r="C60" s="8" t="n"/>
      <c r="D60" s="8" t="n"/>
      <c r="E60" s="11" t="n"/>
      <c r="F60" s="8" t="n"/>
    </row>
    <row r="61">
      <c r="A61" s="8" t="n"/>
      <c r="B61" s="8" t="n"/>
      <c r="C61" s="8" t="n"/>
      <c r="D61" s="8" t="n"/>
      <c r="E61" s="11" t="n"/>
      <c r="F61" s="8" t="n"/>
    </row>
    <row r="62">
      <c r="A62" s="8" t="n"/>
      <c r="B62" s="8" t="n"/>
      <c r="C62" s="8" t="n"/>
      <c r="D62" s="8" t="n"/>
      <c r="E62" s="11" t="n"/>
      <c r="F62" s="8" t="n"/>
    </row>
    <row r="63">
      <c r="A63" s="8" t="n"/>
      <c r="B63" s="8" t="n"/>
      <c r="C63" s="8" t="n"/>
      <c r="D63" s="8" t="n"/>
      <c r="E63" s="11" t="n"/>
      <c r="F63" s="8" t="n"/>
    </row>
    <row r="64">
      <c r="A64" s="8" t="n"/>
      <c r="B64" s="8" t="n"/>
      <c r="C64" s="8" t="n"/>
      <c r="D64" s="8" t="n"/>
      <c r="E64" s="11" t="n"/>
      <c r="F64" s="8" t="n"/>
    </row>
    <row r="65">
      <c r="A65" s="8" t="n"/>
      <c r="B65" s="8" t="n"/>
      <c r="C65" s="8" t="n"/>
      <c r="D65" s="8" t="n"/>
      <c r="E65" s="11" t="n"/>
      <c r="F65" s="8" t="n"/>
    </row>
    <row r="66">
      <c r="A66" s="8" t="n"/>
      <c r="B66" s="8" t="n"/>
      <c r="C66" s="8" t="n"/>
      <c r="D66" s="8" t="n"/>
      <c r="E66" s="11" t="n"/>
      <c r="F66" s="8" t="n"/>
    </row>
    <row r="67">
      <c r="A67" s="8" t="n"/>
      <c r="B67" s="8" t="n"/>
      <c r="C67" s="8" t="n"/>
      <c r="D67" s="8" t="n"/>
      <c r="E67" s="11" t="n"/>
      <c r="F67" s="8" t="n"/>
    </row>
    <row r="68">
      <c r="A68" s="8" t="n"/>
      <c r="B68" s="8" t="n"/>
      <c r="C68" s="8" t="n"/>
      <c r="D68" s="8" t="n"/>
      <c r="E68" s="11" t="n"/>
      <c r="F68" s="8" t="n"/>
    </row>
    <row r="69">
      <c r="A69" s="8" t="n"/>
      <c r="B69" s="8" t="n"/>
      <c r="C69" s="8" t="n"/>
      <c r="D69" s="8" t="n"/>
      <c r="E69" s="11" t="n"/>
      <c r="F69" s="8" t="n"/>
    </row>
    <row r="70">
      <c r="A70" s="8" t="n"/>
      <c r="B70" s="8" t="n"/>
      <c r="C70" s="8" t="n"/>
      <c r="D70" s="8" t="n"/>
      <c r="E70" s="11" t="n"/>
      <c r="F70" s="8" t="n"/>
    </row>
    <row r="71">
      <c r="A71" s="8" t="n"/>
      <c r="B71" s="8" t="n"/>
      <c r="C71" s="8" t="n"/>
      <c r="D71" s="8" t="n"/>
      <c r="E71" s="11" t="n"/>
      <c r="F71" s="8" t="n"/>
    </row>
    <row r="72">
      <c r="A72" s="8" t="n"/>
      <c r="B72" s="8" t="n"/>
      <c r="C72" s="8" t="n"/>
      <c r="D72" s="8" t="n"/>
      <c r="E72" s="11" t="n"/>
      <c r="F72" s="8" t="n"/>
    </row>
    <row r="73">
      <c r="A73" s="8" t="n"/>
      <c r="B73" s="8" t="n"/>
      <c r="C73" s="8" t="n"/>
      <c r="D73" s="8" t="n"/>
      <c r="E73" s="11" t="n"/>
      <c r="F73" s="8" t="n"/>
    </row>
    <row r="74">
      <c r="A74" s="8" t="n"/>
      <c r="B74" s="8" t="n"/>
      <c r="C74" s="8" t="n"/>
      <c r="D74" s="8" t="n"/>
      <c r="E74" s="11" t="n"/>
      <c r="F74" s="8" t="n"/>
    </row>
    <row r="75">
      <c r="A75" s="8" t="n"/>
      <c r="B75" s="8" t="n"/>
      <c r="C75" s="8" t="n"/>
      <c r="D75" s="8" t="n"/>
      <c r="E75" s="11" t="n"/>
      <c r="F75" s="8" t="n"/>
    </row>
    <row r="76">
      <c r="A76" s="8" t="n"/>
      <c r="B76" s="8" t="n"/>
      <c r="C76" s="8" t="n"/>
      <c r="D76" s="8" t="n"/>
      <c r="E76" s="11" t="n"/>
      <c r="F76" s="8" t="n"/>
    </row>
    <row r="77">
      <c r="A77" s="8" t="n"/>
      <c r="B77" s="8" t="n"/>
      <c r="C77" s="8" t="n"/>
      <c r="D77" s="8" t="n"/>
      <c r="E77" s="11" t="n"/>
      <c r="F77" s="8" t="n"/>
    </row>
    <row r="78">
      <c r="A78" s="8" t="n"/>
      <c r="B78" s="8" t="n"/>
      <c r="C78" s="8" t="n"/>
      <c r="D78" s="8" t="n"/>
      <c r="E78" s="11" t="n"/>
      <c r="F78" s="8" t="n"/>
    </row>
    <row r="79">
      <c r="A79" s="8" t="n"/>
      <c r="B79" s="8" t="n"/>
      <c r="C79" s="8" t="n"/>
      <c r="D79" s="8" t="n"/>
      <c r="E79" s="11" t="n"/>
      <c r="F79" s="8" t="n"/>
    </row>
    <row r="80">
      <c r="A80" s="8" t="n"/>
      <c r="B80" s="8" t="n"/>
      <c r="C80" s="8" t="n"/>
      <c r="D80" s="8" t="n"/>
      <c r="E80" s="11" t="n"/>
      <c r="F80" s="8" t="n"/>
    </row>
    <row r="81">
      <c r="A81" s="8" t="n"/>
      <c r="B81" s="8" t="n"/>
      <c r="C81" s="8" t="n"/>
      <c r="D81" s="8" t="n"/>
      <c r="E81" s="11" t="n"/>
      <c r="F81" s="8" t="n"/>
    </row>
    <row r="82">
      <c r="A82" s="8" t="n"/>
      <c r="B82" s="8" t="n"/>
      <c r="C82" s="8" t="n"/>
      <c r="D82" s="8" t="n"/>
      <c r="E82" s="11" t="n"/>
      <c r="F82" s="8" t="n"/>
    </row>
    <row r="83">
      <c r="A83" s="8" t="n"/>
      <c r="B83" s="8" t="n"/>
      <c r="C83" s="8" t="n"/>
      <c r="D83" s="8" t="n"/>
      <c r="E83" s="11" t="n"/>
      <c r="F83" s="8" t="n"/>
    </row>
    <row r="84">
      <c r="A84" s="8" t="n"/>
      <c r="B84" s="8" t="n"/>
      <c r="C84" s="8" t="n"/>
      <c r="D84" s="8" t="n"/>
      <c r="E84" s="11" t="n"/>
      <c r="F84" s="8" t="n"/>
    </row>
    <row r="85">
      <c r="A85" s="8" t="n"/>
      <c r="B85" s="8" t="n"/>
      <c r="C85" s="8" t="n"/>
      <c r="D85" s="8" t="n"/>
      <c r="E85" s="11" t="n"/>
      <c r="F85" s="8" t="n"/>
    </row>
    <row r="86">
      <c r="A86" s="8" t="n"/>
      <c r="B86" s="8" t="n"/>
      <c r="C86" s="8" t="n"/>
      <c r="D86" s="8" t="n"/>
      <c r="E86" s="11" t="n"/>
      <c r="F86" s="8" t="n"/>
    </row>
    <row r="87">
      <c r="A87" s="8" t="n"/>
      <c r="B87" s="8" t="n"/>
      <c r="C87" s="8" t="n"/>
      <c r="D87" s="8" t="n"/>
      <c r="E87" s="11" t="n"/>
      <c r="F87" s="8" t="n"/>
    </row>
    <row r="88">
      <c r="A88" s="8" t="n"/>
      <c r="B88" s="8" t="n"/>
      <c r="C88" s="8" t="n"/>
      <c r="D88" s="8" t="n"/>
      <c r="E88" s="11" t="n"/>
      <c r="F88" s="8" t="n"/>
    </row>
    <row r="89">
      <c r="A89" s="8" t="n"/>
      <c r="B89" s="8" t="n"/>
      <c r="C89" s="8" t="n"/>
      <c r="D89" s="8" t="n"/>
      <c r="E89" s="11" t="n"/>
      <c r="F89" s="8" t="n"/>
    </row>
    <row r="90">
      <c r="A90" s="8" t="n"/>
      <c r="B90" s="8" t="n"/>
      <c r="C90" s="8" t="n"/>
      <c r="D90" s="8" t="n"/>
      <c r="E90" s="11" t="n"/>
      <c r="F90" s="8" t="n"/>
    </row>
    <row r="91">
      <c r="A91" s="8" t="n"/>
      <c r="B91" s="8" t="n"/>
      <c r="C91" s="8" t="n"/>
      <c r="D91" s="8" t="n"/>
      <c r="E91" s="11" t="n"/>
      <c r="F91" s="8" t="n"/>
    </row>
    <row r="92">
      <c r="A92" s="8" t="n"/>
      <c r="B92" s="8" t="n"/>
      <c r="C92" s="8" t="n"/>
      <c r="D92" s="8" t="n"/>
      <c r="E92" s="11" t="n"/>
      <c r="F92" s="8" t="n"/>
    </row>
    <row r="93">
      <c r="A93" s="8" t="n"/>
      <c r="B93" s="8" t="n"/>
      <c r="C93" s="8" t="n"/>
      <c r="D93" s="8" t="n"/>
      <c r="E93" s="11" t="n"/>
      <c r="F93" s="8" t="n"/>
    </row>
    <row r="94">
      <c r="A94" s="8" t="n"/>
      <c r="B94" s="8" t="n"/>
      <c r="C94" s="8" t="n"/>
      <c r="D94" s="8" t="n"/>
      <c r="E94" s="11" t="n"/>
      <c r="F94" s="8" t="n"/>
    </row>
    <row r="95">
      <c r="A95" s="8" t="n"/>
      <c r="B95" s="8" t="n"/>
      <c r="C95" s="8" t="n"/>
      <c r="D95" s="8" t="n"/>
      <c r="E95" s="11" t="n"/>
      <c r="F95" s="8" t="n"/>
    </row>
    <row r="96">
      <c r="A96" s="8" t="n"/>
      <c r="B96" s="8" t="n"/>
      <c r="C96" s="8" t="n"/>
      <c r="D96" s="8" t="n"/>
      <c r="E96" s="11" t="n"/>
      <c r="F96" s="8" t="n"/>
    </row>
    <row r="97">
      <c r="A97" s="8" t="n"/>
      <c r="B97" s="8" t="n"/>
      <c r="C97" s="8" t="n"/>
      <c r="D97" s="8" t="n"/>
      <c r="E97" s="11" t="n"/>
      <c r="F97" s="8" t="n"/>
    </row>
    <row r="98">
      <c r="A98" s="8" t="n"/>
      <c r="B98" s="8" t="n"/>
      <c r="C98" s="8" t="n"/>
      <c r="D98" s="8" t="n"/>
      <c r="E98" s="11" t="n"/>
      <c r="F98" s="8" t="n"/>
    </row>
    <row r="99">
      <c r="A99" s="8" t="n"/>
      <c r="B99" s="8" t="n"/>
      <c r="C99" s="8" t="n"/>
      <c r="D99" s="8" t="n"/>
      <c r="E99" s="11" t="n"/>
      <c r="F99" s="8" t="n"/>
    </row>
    <row r="100">
      <c r="A100" s="8" t="n"/>
      <c r="B100" s="8" t="n"/>
      <c r="C100" s="8" t="n"/>
      <c r="D100" s="8" t="n"/>
      <c r="E100" s="11" t="n"/>
      <c r="F100" s="8" t="n"/>
    </row>
    <row r="101">
      <c r="A101" s="8" t="n"/>
      <c r="B101" s="8" t="n"/>
      <c r="C101" s="8" t="n"/>
      <c r="D101" s="8" t="n"/>
      <c r="E101" s="11" t="n"/>
      <c r="F101" s="8" t="n"/>
    </row>
    <row r="102">
      <c r="A102" s="8" t="n"/>
      <c r="B102" s="8" t="n"/>
      <c r="C102" s="8" t="n"/>
      <c r="D102" s="8" t="n"/>
      <c r="E102" s="11" t="n"/>
      <c r="F102" s="8" t="n"/>
    </row>
    <row r="103">
      <c r="A103" s="8" t="n"/>
      <c r="B103" s="8" t="n"/>
      <c r="C103" s="8" t="n"/>
      <c r="D103" s="8" t="n"/>
      <c r="E103" s="11" t="n"/>
      <c r="F103" s="8" t="n"/>
    </row>
    <row r="104">
      <c r="A104" s="8" t="n"/>
      <c r="B104" s="8" t="n"/>
      <c r="C104" s="8" t="n"/>
      <c r="D104" s="8" t="n"/>
      <c r="E104" s="11" t="n"/>
      <c r="F104" s="8" t="n"/>
    </row>
    <row r="105">
      <c r="A105" s="8" t="n"/>
      <c r="B105" s="8" t="n"/>
      <c r="C105" s="8" t="n"/>
      <c r="D105" s="8" t="n"/>
      <c r="E105" s="11" t="n"/>
      <c r="F105" s="8" t="n"/>
    </row>
    <row r="106">
      <c r="A106" s="8" t="n"/>
      <c r="B106" s="8" t="n"/>
      <c r="C106" s="8" t="n"/>
      <c r="D106" s="8" t="n"/>
      <c r="E106" s="11" t="n"/>
      <c r="F106" s="8" t="n"/>
    </row>
    <row r="107">
      <c r="A107" s="8" t="n"/>
      <c r="B107" s="8" t="n"/>
      <c r="C107" s="8" t="n"/>
      <c r="D107" s="8" t="n"/>
      <c r="E107" s="11" t="n"/>
      <c r="F107" s="8" t="n"/>
    </row>
    <row r="108">
      <c r="A108" s="8" t="n"/>
      <c r="B108" s="8" t="n"/>
      <c r="C108" s="8" t="n"/>
      <c r="D108" s="8" t="n"/>
      <c r="E108" s="11" t="n"/>
      <c r="F108" s="8" t="n"/>
    </row>
    <row r="109">
      <c r="A109" s="8" t="n"/>
      <c r="B109" s="8" t="n"/>
      <c r="C109" s="8" t="n"/>
      <c r="D109" s="8" t="n"/>
      <c r="E109" s="11" t="n"/>
      <c r="F109" s="8" t="n"/>
    </row>
    <row r="110">
      <c r="A110" s="8" t="n"/>
      <c r="B110" s="8" t="n"/>
      <c r="C110" s="8" t="n"/>
      <c r="D110" s="8" t="n"/>
      <c r="E110" s="11" t="n"/>
      <c r="F110" s="8" t="n"/>
    </row>
    <row r="111">
      <c r="A111" s="8" t="n"/>
      <c r="B111" s="8" t="n"/>
      <c r="C111" s="8" t="n"/>
      <c r="D111" s="8" t="n"/>
      <c r="E111" s="11" t="n"/>
      <c r="F111" s="8" t="n"/>
    </row>
    <row r="112">
      <c r="A112" s="8" t="n"/>
      <c r="B112" s="8" t="n"/>
      <c r="C112" s="8" t="n"/>
      <c r="D112" s="8" t="n"/>
      <c r="E112" s="11" t="n"/>
      <c r="F112" s="8" t="n"/>
    </row>
    <row r="113">
      <c r="A113" s="8" t="n"/>
      <c r="B113" s="8" t="n"/>
      <c r="C113" s="8" t="n"/>
      <c r="D113" s="8" t="n"/>
      <c r="E113" s="11" t="n"/>
      <c r="F113" s="8" t="n"/>
    </row>
    <row r="114">
      <c r="A114" s="8" t="n"/>
      <c r="B114" s="8" t="n"/>
      <c r="C114" s="8" t="n"/>
      <c r="D114" s="8" t="n"/>
      <c r="E114" s="11" t="n"/>
      <c r="F114" s="8" t="n"/>
    </row>
    <row r="115">
      <c r="A115" s="8" t="n"/>
      <c r="B115" s="8" t="n"/>
      <c r="C115" s="8" t="n"/>
      <c r="D115" s="8" t="n"/>
      <c r="E115" s="11" t="n"/>
      <c r="F115" s="8" t="n"/>
    </row>
    <row r="116">
      <c r="A116" s="8" t="n"/>
      <c r="B116" s="8" t="n"/>
      <c r="C116" s="8" t="n"/>
      <c r="D116" s="8" t="n"/>
      <c r="E116" s="11" t="n"/>
      <c r="F116" s="8" t="n"/>
    </row>
    <row r="117">
      <c r="A117" s="8" t="n"/>
      <c r="B117" s="8" t="n"/>
      <c r="C117" s="8" t="n"/>
      <c r="D117" s="8" t="n"/>
      <c r="E117" s="11" t="n"/>
      <c r="F117" s="8" t="n"/>
    </row>
    <row r="118">
      <c r="A118" s="8" t="n"/>
      <c r="B118" s="8" t="n"/>
      <c r="C118" s="8" t="n"/>
      <c r="D118" s="8" t="n"/>
      <c r="E118" s="11" t="n"/>
      <c r="F118" s="8" t="n"/>
    </row>
    <row r="119">
      <c r="A119" s="8" t="n"/>
      <c r="B119" s="8" t="n"/>
      <c r="C119" s="8" t="n"/>
      <c r="D119" s="8" t="n"/>
      <c r="E119" s="11" t="n"/>
      <c r="F119" s="8" t="n"/>
    </row>
    <row r="120">
      <c r="A120" s="8" t="n"/>
      <c r="B120" s="8" t="n"/>
      <c r="C120" s="8" t="n"/>
      <c r="D120" s="8" t="n"/>
      <c r="E120" s="11" t="n"/>
      <c r="F120" s="8" t="n"/>
    </row>
    <row r="121">
      <c r="A121" s="8" t="n"/>
      <c r="B121" s="8" t="n"/>
      <c r="C121" s="8" t="n"/>
      <c r="D121" s="8" t="n"/>
      <c r="E121" s="11" t="n"/>
      <c r="F121" s="8" t="n"/>
    </row>
    <row r="122">
      <c r="A122" s="8" t="n"/>
      <c r="B122" s="8" t="n"/>
      <c r="C122" s="8" t="n"/>
      <c r="D122" s="8" t="n"/>
      <c r="E122" s="11" t="n"/>
      <c r="F122" s="8" t="n"/>
    </row>
    <row r="123">
      <c r="A123" s="8" t="n"/>
      <c r="B123" s="8" t="n"/>
      <c r="C123" s="8" t="n"/>
      <c r="D123" s="8" t="n"/>
      <c r="E123" s="11" t="n"/>
      <c r="F123" s="8" t="n"/>
    </row>
    <row r="124">
      <c r="A124" s="8" t="n"/>
      <c r="B124" s="8" t="n"/>
      <c r="C124" s="8" t="n"/>
      <c r="D124" s="8" t="n"/>
      <c r="E124" s="11" t="n"/>
      <c r="F124" s="8" t="n"/>
    </row>
    <row r="125">
      <c r="A125" s="8" t="n"/>
      <c r="B125" s="8" t="n"/>
      <c r="C125" s="8" t="n"/>
      <c r="D125" s="8" t="n"/>
      <c r="E125" s="11" t="n"/>
      <c r="F125" s="8" t="n"/>
    </row>
    <row r="126">
      <c r="A126" s="8" t="n"/>
      <c r="B126" s="8" t="n"/>
      <c r="C126" s="8" t="n"/>
      <c r="D126" s="8" t="n"/>
      <c r="E126" s="11" t="n"/>
      <c r="F126" s="8" t="n"/>
    </row>
    <row r="127">
      <c r="A127" s="8" t="n"/>
      <c r="B127" s="8" t="n"/>
      <c r="C127" s="8" t="n"/>
      <c r="D127" s="8" t="n"/>
      <c r="E127" s="11" t="n"/>
      <c r="F127" s="8" t="n"/>
    </row>
    <row r="128">
      <c r="A128" s="8" t="n"/>
      <c r="B128" s="8" t="n"/>
      <c r="C128" s="8" t="n"/>
      <c r="D128" s="8" t="n"/>
      <c r="E128" s="11" t="n"/>
      <c r="F128" s="8" t="n"/>
    </row>
    <row r="129">
      <c r="A129" s="8" t="n"/>
      <c r="B129" s="8" t="n"/>
      <c r="C129" s="8" t="n"/>
      <c r="D129" s="8" t="n"/>
      <c r="E129" s="11" t="n"/>
      <c r="F129" s="8" t="n"/>
    </row>
    <row r="130">
      <c r="A130" s="8" t="n"/>
      <c r="B130" s="8" t="n"/>
      <c r="C130" s="8" t="n"/>
      <c r="D130" s="8" t="n"/>
      <c r="E130" s="11" t="n"/>
      <c r="F130" s="8" t="n"/>
    </row>
    <row r="131">
      <c r="A131" s="8" t="n"/>
      <c r="B131" s="8" t="n"/>
      <c r="C131" s="8" t="n"/>
      <c r="D131" s="8" t="n"/>
      <c r="E131" s="11" t="n"/>
      <c r="F131" s="8" t="n"/>
    </row>
    <row r="132">
      <c r="A132" s="8" t="n"/>
      <c r="B132" s="8" t="n"/>
      <c r="C132" s="8" t="n"/>
      <c r="D132" s="8" t="n"/>
      <c r="E132" s="11" t="n"/>
      <c r="F132" s="8" t="n"/>
    </row>
    <row r="133">
      <c r="A133" s="8" t="n"/>
      <c r="B133" s="8" t="n"/>
      <c r="C133" s="8" t="n"/>
      <c r="D133" s="8" t="n"/>
      <c r="E133" s="11" t="n"/>
      <c r="F133" s="8" t="n"/>
    </row>
    <row r="134">
      <c r="A134" s="8" t="n"/>
      <c r="B134" s="8" t="n"/>
      <c r="C134" s="8" t="n"/>
      <c r="D134" s="8" t="n"/>
      <c r="E134" s="11" t="n"/>
      <c r="F134" s="8" t="n"/>
    </row>
    <row r="135">
      <c r="A135" s="8" t="n"/>
      <c r="B135" s="8" t="n"/>
      <c r="C135" s="8" t="n"/>
      <c r="D135" s="8" t="n"/>
      <c r="E135" s="11" t="n"/>
      <c r="F135" s="8" t="n"/>
    </row>
    <row r="136">
      <c r="A136" s="8" t="n"/>
      <c r="B136" s="8" t="n"/>
      <c r="C136" s="8" t="n"/>
      <c r="D136" s="8" t="n"/>
      <c r="E136" s="11" t="n"/>
      <c r="F136" s="8" t="n"/>
    </row>
    <row r="137">
      <c r="A137" s="8" t="n"/>
      <c r="B137" s="8" t="n"/>
      <c r="C137" s="8" t="n"/>
      <c r="D137" s="8" t="n"/>
      <c r="E137" s="11" t="n"/>
      <c r="F137" s="8" t="n"/>
    </row>
    <row r="138">
      <c r="A138" s="8" t="n"/>
      <c r="B138" s="8" t="n"/>
      <c r="C138" s="8" t="n"/>
      <c r="D138" s="8" t="n"/>
      <c r="E138" s="11" t="n"/>
      <c r="F138" s="8" t="n"/>
    </row>
    <row r="139">
      <c r="A139" s="8" t="n"/>
      <c r="B139" s="8" t="n"/>
      <c r="C139" s="8" t="n"/>
      <c r="D139" s="8" t="n"/>
      <c r="E139" s="11" t="n"/>
      <c r="F139" s="8" t="n"/>
    </row>
    <row r="140">
      <c r="A140" s="8" t="n"/>
      <c r="B140" s="8" t="n"/>
      <c r="C140" s="8" t="n"/>
      <c r="D140" s="8" t="n"/>
      <c r="E140" s="11" t="n"/>
      <c r="F140" s="8" t="n"/>
    </row>
    <row r="141">
      <c r="A141" s="8" t="n"/>
      <c r="B141" s="8" t="n"/>
      <c r="C141" s="8" t="n"/>
      <c r="D141" s="8" t="n"/>
      <c r="E141" s="11" t="n"/>
      <c r="F141" s="8" t="n"/>
    </row>
    <row r="142">
      <c r="A142" s="8" t="n"/>
      <c r="B142" s="8" t="n"/>
      <c r="C142" s="8" t="n"/>
      <c r="D142" s="8" t="n"/>
      <c r="E142" s="11" t="n"/>
      <c r="F142" s="8" t="n"/>
    </row>
    <row r="143">
      <c r="A143" s="8" t="n"/>
      <c r="B143" s="8" t="n"/>
      <c r="C143" s="8" t="n"/>
      <c r="D143" s="8" t="n"/>
      <c r="E143" s="11" t="n"/>
      <c r="F143" s="8" t="n"/>
    </row>
    <row r="144">
      <c r="A144" s="8" t="n"/>
      <c r="B144" s="8" t="n"/>
      <c r="C144" s="8" t="n"/>
      <c r="D144" s="8" t="n"/>
      <c r="E144" s="11" t="n"/>
      <c r="F144" s="8" t="n"/>
    </row>
    <row r="145">
      <c r="A145" s="8" t="n"/>
      <c r="B145" s="8" t="n"/>
      <c r="C145" s="8" t="n"/>
      <c r="D145" s="8" t="n"/>
      <c r="E145" s="11" t="n"/>
      <c r="F145" s="8" t="n"/>
    </row>
    <row r="146">
      <c r="A146" s="8" t="n"/>
      <c r="B146" s="8" t="n"/>
      <c r="C146" s="8" t="n"/>
      <c r="D146" s="8" t="n"/>
      <c r="E146" s="11" t="n"/>
      <c r="F146" s="8" t="n"/>
    </row>
    <row r="147">
      <c r="A147" s="8" t="n"/>
      <c r="B147" s="8" t="n"/>
      <c r="C147" s="8" t="n"/>
      <c r="D147" s="8" t="n"/>
      <c r="E147" s="11" t="n"/>
      <c r="F147" s="8" t="n"/>
    </row>
    <row r="148">
      <c r="A148" s="8" t="n"/>
      <c r="B148" s="8" t="n"/>
      <c r="C148" s="8" t="n"/>
      <c r="D148" s="8" t="n"/>
      <c r="E148" s="11" t="n"/>
      <c r="F148" s="8" t="n"/>
    </row>
    <row r="149">
      <c r="A149" s="8" t="n"/>
      <c r="B149" s="8" t="n"/>
      <c r="C149" s="8" t="n"/>
      <c r="D149" s="8" t="n"/>
      <c r="E149" s="11" t="n"/>
      <c r="F149" s="8" t="n"/>
    </row>
    <row r="150">
      <c r="A150" s="8" t="n"/>
      <c r="B150" s="8" t="n"/>
      <c r="C150" s="8" t="n"/>
      <c r="D150" s="8" t="n"/>
      <c r="E150" s="11" t="n"/>
      <c r="F150" s="8" t="n"/>
    </row>
    <row r="151">
      <c r="A151" s="8" t="n"/>
      <c r="B151" s="8" t="n"/>
      <c r="C151" s="8" t="n"/>
      <c r="D151" s="8" t="n"/>
      <c r="E151" s="11" t="n"/>
      <c r="F151" s="8" t="n"/>
    </row>
    <row r="152">
      <c r="A152" s="8" t="n"/>
      <c r="B152" s="8" t="n"/>
      <c r="C152" s="8" t="n"/>
      <c r="D152" s="8" t="n"/>
      <c r="E152" s="11" t="n"/>
      <c r="F152" s="8" t="n"/>
    </row>
    <row r="153">
      <c r="A153" s="8" t="n"/>
      <c r="B153" s="8" t="n"/>
      <c r="C153" s="8" t="n"/>
      <c r="D153" s="8" t="n"/>
      <c r="E153" s="11" t="n"/>
      <c r="F153" s="8" t="n"/>
    </row>
    <row r="154">
      <c r="A154" s="8" t="n"/>
      <c r="B154" s="8" t="n"/>
      <c r="C154" s="8" t="n"/>
      <c r="D154" s="8" t="n"/>
      <c r="E154" s="11" t="n"/>
      <c r="F154" s="8" t="n"/>
    </row>
    <row r="155">
      <c r="A155" s="8" t="n"/>
      <c r="B155" s="8" t="n"/>
      <c r="C155" s="8" t="n"/>
      <c r="D155" s="8" t="n"/>
      <c r="E155" s="11" t="n"/>
      <c r="F155" s="8" t="n"/>
    </row>
    <row r="156">
      <c r="A156" s="8" t="n"/>
      <c r="B156" s="8" t="n"/>
      <c r="C156" s="8" t="n"/>
      <c r="D156" s="8" t="n"/>
      <c r="E156" s="11" t="n"/>
      <c r="F156" s="8" t="n"/>
    </row>
    <row r="157">
      <c r="A157" s="8" t="n"/>
      <c r="B157" s="8" t="n"/>
      <c r="C157" s="8" t="n"/>
      <c r="D157" s="8" t="n"/>
      <c r="E157" s="11" t="n"/>
      <c r="F157" s="8" t="n"/>
    </row>
    <row r="158">
      <c r="A158" s="8" t="n"/>
      <c r="B158" s="8" t="n"/>
      <c r="C158" s="8" t="n"/>
      <c r="D158" s="8" t="n"/>
      <c r="E158" s="11" t="n"/>
      <c r="F158" s="8" t="n"/>
    </row>
    <row r="159">
      <c r="A159" s="8" t="n"/>
      <c r="B159" s="8" t="n"/>
      <c r="C159" s="8" t="n"/>
      <c r="D159" s="8" t="n"/>
      <c r="E159" s="11" t="n"/>
      <c r="F159" s="8" t="n"/>
    </row>
    <row r="160">
      <c r="A160" s="8" t="n"/>
      <c r="B160" s="8" t="n"/>
      <c r="C160" s="8" t="n"/>
      <c r="D160" s="8" t="n"/>
      <c r="E160" s="11" t="n"/>
      <c r="F160" s="8" t="n"/>
    </row>
    <row r="161">
      <c r="A161" s="8" t="n"/>
      <c r="B161" s="8" t="n"/>
      <c r="C161" s="8" t="n"/>
      <c r="D161" s="8" t="n"/>
      <c r="E161" s="11" t="n"/>
      <c r="F161" s="8" t="n"/>
    </row>
    <row r="162">
      <c r="A162" s="8" t="n"/>
      <c r="B162" s="8" t="n"/>
      <c r="C162" s="8" t="n"/>
      <c r="D162" s="8" t="n"/>
      <c r="E162" s="11" t="n"/>
      <c r="F162" s="8" t="n"/>
    </row>
    <row r="163">
      <c r="A163" s="8" t="n"/>
      <c r="B163" s="8" t="n"/>
      <c r="C163" s="8" t="n"/>
      <c r="D163" s="8" t="n"/>
      <c r="E163" s="11" t="n"/>
      <c r="F163" s="8" t="n"/>
    </row>
    <row r="164">
      <c r="A164" s="8" t="n"/>
      <c r="B164" s="8" t="n"/>
      <c r="C164" s="8" t="n"/>
      <c r="D164" s="8" t="n"/>
      <c r="E164" s="11" t="n"/>
      <c r="F164" s="8" t="n"/>
    </row>
    <row r="165">
      <c r="A165" s="8" t="n"/>
      <c r="B165" s="8" t="n"/>
      <c r="C165" s="8" t="n"/>
      <c r="D165" s="8" t="n"/>
      <c r="E165" s="11" t="n"/>
      <c r="F165" s="8" t="n"/>
    </row>
    <row r="166">
      <c r="A166" s="8" t="n"/>
      <c r="B166" s="8" t="n"/>
      <c r="C166" s="8" t="n"/>
      <c r="D166" s="8" t="n"/>
      <c r="E166" s="11" t="n"/>
      <c r="F166" s="8" t="n"/>
    </row>
    <row r="167">
      <c r="A167" s="8" t="n"/>
      <c r="B167" s="8" t="n"/>
      <c r="C167" s="8" t="n"/>
      <c r="D167" s="8" t="n"/>
      <c r="E167" s="11" t="n"/>
      <c r="F167" s="8" t="n"/>
    </row>
    <row r="168">
      <c r="A168" s="8" t="n"/>
      <c r="B168" s="8" t="n"/>
      <c r="C168" s="8" t="n"/>
      <c r="D168" s="8" t="n"/>
      <c r="E168" s="11" t="n"/>
      <c r="F168" s="8" t="n"/>
    </row>
    <row r="169">
      <c r="A169" s="8" t="n"/>
      <c r="B169" s="8" t="n"/>
      <c r="C169" s="8" t="n"/>
      <c r="D169" s="8" t="n"/>
      <c r="E169" s="11" t="n"/>
      <c r="F169" s="8" t="n"/>
    </row>
    <row r="170">
      <c r="A170" s="8" t="n"/>
      <c r="B170" s="8" t="n"/>
      <c r="C170" s="8" t="n"/>
      <c r="D170" s="8" t="n"/>
      <c r="E170" s="11" t="n"/>
      <c r="F170" s="8" t="n"/>
    </row>
    <row r="171">
      <c r="A171" s="8" t="n"/>
      <c r="B171" s="8" t="n"/>
      <c r="C171" s="8" t="n"/>
      <c r="D171" s="8" t="n"/>
      <c r="E171" s="11" t="n"/>
      <c r="F171" s="8" t="n"/>
    </row>
    <row r="172">
      <c r="A172" s="8" t="n"/>
      <c r="B172" s="8" t="n"/>
      <c r="C172" s="8" t="n"/>
      <c r="D172" s="8" t="n"/>
      <c r="E172" s="11" t="n"/>
      <c r="F172" s="8" t="n"/>
    </row>
    <row r="173">
      <c r="A173" s="8" t="n"/>
      <c r="B173" s="8" t="n"/>
      <c r="C173" s="8" t="n"/>
      <c r="D173" s="8" t="n"/>
      <c r="E173" s="11" t="n"/>
      <c r="F173" s="8" t="n"/>
    </row>
    <row r="174">
      <c r="A174" s="8" t="n"/>
      <c r="B174" s="8" t="n"/>
      <c r="C174" s="8" t="n"/>
      <c r="D174" s="8" t="n"/>
      <c r="E174" s="11" t="n"/>
      <c r="F174" s="8" t="n"/>
    </row>
    <row r="175">
      <c r="A175" s="8" t="n"/>
      <c r="B175" s="8" t="n"/>
      <c r="C175" s="8" t="n"/>
      <c r="D175" s="8" t="n"/>
      <c r="E175" s="11" t="n"/>
      <c r="F175" s="8" t="n"/>
    </row>
    <row r="176">
      <c r="A176" s="8" t="n"/>
      <c r="B176" s="8" t="n"/>
      <c r="C176" s="8" t="n"/>
      <c r="D176" s="8" t="n"/>
      <c r="E176" s="11" t="n"/>
      <c r="F176" s="8" t="n"/>
    </row>
    <row r="177">
      <c r="A177" s="8" t="n"/>
      <c r="B177" s="8" t="n"/>
      <c r="C177" s="8" t="n"/>
      <c r="D177" s="8" t="n"/>
      <c r="E177" s="11" t="n"/>
      <c r="F177" s="8" t="n"/>
    </row>
    <row r="178">
      <c r="A178" s="8" t="n"/>
      <c r="B178" s="8" t="n"/>
      <c r="C178" s="8" t="n"/>
      <c r="D178" s="8" t="n"/>
      <c r="E178" s="11" t="n"/>
      <c r="F178" s="8" t="n"/>
    </row>
    <row r="179">
      <c r="A179" s="8" t="n"/>
      <c r="B179" s="8" t="n"/>
      <c r="C179" s="8" t="n"/>
      <c r="D179" s="8" t="n"/>
      <c r="E179" s="11" t="n"/>
      <c r="F179" s="8" t="n"/>
    </row>
    <row r="180">
      <c r="A180" s="8" t="n"/>
      <c r="B180" s="8" t="n"/>
      <c r="C180" s="8" t="n"/>
      <c r="D180" s="8" t="n"/>
      <c r="E180" s="11" t="n"/>
      <c r="F180" s="8" t="n"/>
    </row>
    <row r="181">
      <c r="A181" s="8" t="n"/>
      <c r="B181" s="8" t="n"/>
      <c r="C181" s="8" t="n"/>
      <c r="D181" s="8" t="n"/>
      <c r="E181" s="11" t="n"/>
      <c r="F181" s="8" t="n"/>
    </row>
    <row r="182">
      <c r="A182" s="8" t="n"/>
      <c r="B182" s="8" t="n"/>
      <c r="C182" s="8" t="n"/>
      <c r="D182" s="8" t="n"/>
      <c r="E182" s="11" t="n"/>
      <c r="F182" s="8" t="n"/>
    </row>
    <row r="183">
      <c r="A183" s="8" t="n"/>
      <c r="B183" s="8" t="n"/>
      <c r="C183" s="8" t="n"/>
      <c r="D183" s="8" t="n"/>
      <c r="E183" s="11" t="n"/>
      <c r="F183" s="8" t="n"/>
    </row>
    <row r="184">
      <c r="A184" s="8" t="n"/>
      <c r="B184" s="8" t="n"/>
      <c r="C184" s="8" t="n"/>
      <c r="D184" s="8" t="n"/>
      <c r="E184" s="11" t="n"/>
      <c r="F184" s="8" t="n"/>
    </row>
    <row r="185">
      <c r="A185" s="8" t="n"/>
      <c r="B185" s="8" t="n"/>
      <c r="C185" s="8" t="n"/>
      <c r="D185" s="8" t="n"/>
      <c r="E185" s="11" t="n"/>
      <c r="F185" s="8" t="n"/>
    </row>
    <row r="186">
      <c r="A186" s="8" t="n"/>
      <c r="B186" s="8" t="n"/>
      <c r="C186" s="8" t="n"/>
      <c r="D186" s="8" t="n"/>
      <c r="E186" s="11" t="n"/>
      <c r="F186" s="8" t="n"/>
    </row>
    <row r="187">
      <c r="A187" s="8" t="n"/>
      <c r="B187" s="8" t="n"/>
      <c r="C187" s="8" t="n"/>
      <c r="D187" s="8" t="n"/>
      <c r="E187" s="11" t="n"/>
      <c r="F187" s="8" t="n"/>
    </row>
    <row r="188">
      <c r="A188" s="8" t="n"/>
      <c r="B188" s="8" t="n"/>
      <c r="C188" s="8" t="n"/>
      <c r="D188" s="8" t="n"/>
      <c r="E188" s="11" t="n"/>
      <c r="F188" s="8" t="n"/>
    </row>
    <row r="189">
      <c r="A189" s="8" t="n"/>
      <c r="B189" s="8" t="n"/>
      <c r="C189" s="8" t="n"/>
      <c r="D189" s="8" t="n"/>
      <c r="E189" s="11" t="n"/>
      <c r="F189" s="8" t="n"/>
    </row>
    <row r="190">
      <c r="A190" s="8" t="n"/>
      <c r="B190" s="8" t="n"/>
      <c r="C190" s="8" t="n"/>
      <c r="D190" s="8" t="n"/>
      <c r="E190" s="11" t="n"/>
      <c r="F190" s="8" t="n"/>
    </row>
    <row r="191">
      <c r="A191" s="8" t="n"/>
      <c r="B191" s="8" t="n"/>
      <c r="C191" s="8" t="n"/>
      <c r="D191" s="8" t="n"/>
      <c r="E191" s="11" t="n"/>
      <c r="F191" s="8" t="n"/>
    </row>
    <row r="192">
      <c r="A192" s="8" t="n"/>
      <c r="B192" s="8" t="n"/>
      <c r="C192" s="8" t="n"/>
      <c r="D192" s="8" t="n"/>
      <c r="E192" s="11" t="n"/>
      <c r="F192" s="8" t="n"/>
    </row>
    <row r="193">
      <c r="A193" s="8" t="n"/>
      <c r="B193" s="8" t="n"/>
      <c r="C193" s="8" t="n"/>
      <c r="D193" s="8" t="n"/>
      <c r="E193" s="11" t="n"/>
      <c r="F193" s="8" t="n"/>
    </row>
    <row r="194">
      <c r="A194" s="8" t="n"/>
      <c r="B194" s="8" t="n"/>
      <c r="C194" s="8" t="n"/>
      <c r="D194" s="8" t="n"/>
      <c r="E194" s="11" t="n"/>
      <c r="F194" s="8" t="n"/>
    </row>
    <row r="195">
      <c r="A195" s="8" t="n"/>
      <c r="B195" s="8" t="n"/>
      <c r="C195" s="8" t="n"/>
      <c r="D195" s="8" t="n"/>
      <c r="E195" s="11" t="n"/>
      <c r="F195" s="8" t="n"/>
    </row>
    <row r="196">
      <c r="A196" s="8" t="n"/>
      <c r="B196" s="8" t="n"/>
      <c r="C196" s="8" t="n"/>
      <c r="D196" s="8" t="n"/>
      <c r="E196" s="11" t="n"/>
      <c r="F196" s="8" t="n"/>
    </row>
    <row r="197">
      <c r="A197" s="8" t="n"/>
      <c r="B197" s="8" t="n"/>
      <c r="C197" s="8" t="n"/>
      <c r="D197" s="8" t="n"/>
      <c r="E197" s="11" t="n"/>
      <c r="F197" s="8" t="n"/>
    </row>
    <row r="198">
      <c r="A198" s="8" t="n"/>
      <c r="B198" s="8" t="n"/>
      <c r="C198" s="8" t="n"/>
      <c r="D198" s="8" t="n"/>
      <c r="E198" s="11" t="n"/>
      <c r="F198" s="8" t="n"/>
    </row>
    <row r="199">
      <c r="A199" s="8" t="n"/>
      <c r="B199" s="8" t="n"/>
      <c r="C199" s="8" t="n"/>
      <c r="D199" s="8" t="n"/>
      <c r="E199" s="11" t="n"/>
      <c r="F199" s="8" t="n"/>
    </row>
    <row r="200">
      <c r="A200" s="8" t="n"/>
      <c r="B200" s="8" t="n"/>
      <c r="C200" s="8" t="n"/>
      <c r="D200" s="8" t="n"/>
      <c r="E200" s="11" t="n"/>
      <c r="F200" s="8" t="n"/>
    </row>
    <row r="201">
      <c r="A201" s="8" t="n"/>
      <c r="B201" s="8" t="n"/>
      <c r="C201" s="8" t="n"/>
      <c r="D201" s="8" t="n"/>
      <c r="E201" s="11" t="n"/>
      <c r="F201" s="8" t="n"/>
    </row>
    <row r="202">
      <c r="A202" s="8" t="n"/>
      <c r="B202" s="8" t="n"/>
      <c r="C202" s="8" t="n"/>
      <c r="D202" s="8" t="n"/>
      <c r="E202" s="11" t="n"/>
      <c r="F202" s="8" t="n"/>
    </row>
    <row r="203">
      <c r="A203" s="8" t="n"/>
      <c r="B203" s="8" t="n"/>
      <c r="C203" s="8" t="n"/>
      <c r="D203" s="8" t="n"/>
      <c r="E203" s="11" t="n"/>
      <c r="F203" s="8" t="n"/>
    </row>
    <row r="204">
      <c r="A204" s="8" t="n"/>
      <c r="B204" s="8" t="n"/>
      <c r="C204" s="8" t="n"/>
      <c r="D204" s="8" t="n"/>
      <c r="E204" s="11" t="n"/>
      <c r="F204" s="8" t="n"/>
    </row>
    <row r="205">
      <c r="A205" s="8" t="n"/>
      <c r="B205" s="8" t="n"/>
      <c r="C205" s="8" t="n"/>
      <c r="D205" s="8" t="n"/>
      <c r="E205" s="11" t="n"/>
      <c r="F205" s="8" t="n"/>
    </row>
    <row r="206">
      <c r="A206" s="8" t="n"/>
      <c r="B206" s="8" t="n"/>
      <c r="C206" s="8" t="n"/>
      <c r="D206" s="8" t="n"/>
      <c r="E206" s="11" t="n"/>
      <c r="F206" s="8" t="n"/>
    </row>
    <row r="207">
      <c r="A207" s="8" t="n"/>
      <c r="B207" s="8" t="n"/>
      <c r="C207" s="8" t="n"/>
      <c r="D207" s="8" t="n"/>
      <c r="E207" s="11" t="n"/>
      <c r="F207" s="8" t="n"/>
    </row>
    <row r="208">
      <c r="A208" s="8" t="n"/>
      <c r="B208" s="8" t="n"/>
      <c r="C208" s="8" t="n"/>
      <c r="D208" s="8" t="n"/>
      <c r="E208" s="11" t="n"/>
      <c r="F208" s="8" t="n"/>
    </row>
    <row r="209">
      <c r="A209" s="8" t="n"/>
      <c r="B209" s="8" t="n"/>
      <c r="C209" s="8" t="n"/>
      <c r="D209" s="8" t="n"/>
      <c r="E209" s="11" t="n"/>
      <c r="F209" s="8" t="n"/>
    </row>
    <row r="210">
      <c r="A210" s="8" t="n"/>
      <c r="B210" s="8" t="n"/>
      <c r="C210" s="8" t="n"/>
      <c r="D210" s="8" t="n"/>
      <c r="E210" s="11" t="n"/>
      <c r="F210" s="8" t="n"/>
    </row>
    <row r="211">
      <c r="A211" s="8" t="n"/>
      <c r="B211" s="8" t="n"/>
      <c r="C211" s="8" t="n"/>
      <c r="D211" s="8" t="n"/>
      <c r="E211" s="11" t="n"/>
      <c r="F211" s="8" t="n"/>
    </row>
    <row r="212">
      <c r="A212" s="8" t="n"/>
      <c r="B212" s="8" t="n"/>
      <c r="C212" s="8" t="n"/>
      <c r="D212" s="8" t="n"/>
      <c r="E212" s="11" t="n"/>
      <c r="F212" s="8" t="n"/>
    </row>
    <row r="213">
      <c r="A213" s="8" t="n"/>
      <c r="B213" s="8" t="n"/>
      <c r="C213" s="8" t="n"/>
      <c r="D213" s="8" t="n"/>
      <c r="E213" s="11" t="n"/>
      <c r="F213" s="8" t="n"/>
    </row>
    <row r="214">
      <c r="A214" s="8" t="n"/>
      <c r="B214" s="8" t="n"/>
      <c r="C214" s="8" t="n"/>
      <c r="D214" s="8" t="n"/>
      <c r="E214" s="11" t="n"/>
      <c r="F214" s="8" t="n"/>
    </row>
    <row r="215">
      <c r="A215" s="8" t="n"/>
      <c r="B215" s="8" t="n"/>
      <c r="C215" s="8" t="n"/>
      <c r="D215" s="8" t="n"/>
      <c r="E215" s="11" t="n"/>
      <c r="F215" s="8" t="n"/>
    </row>
    <row r="216">
      <c r="A216" s="8" t="n"/>
      <c r="B216" s="8" t="n"/>
      <c r="C216" s="8" t="n"/>
      <c r="D216" s="8" t="n"/>
      <c r="E216" s="11" t="n"/>
      <c r="F216" s="8" t="n"/>
    </row>
    <row r="217">
      <c r="A217" s="8" t="n"/>
      <c r="B217" s="8" t="n"/>
      <c r="C217" s="8" t="n"/>
      <c r="D217" s="8" t="n"/>
      <c r="E217" s="11" t="n"/>
      <c r="F217" s="8" t="n"/>
    </row>
    <row r="218">
      <c r="A218" s="8" t="n"/>
      <c r="B218" s="8" t="n"/>
      <c r="C218" s="8" t="n"/>
      <c r="D218" s="8" t="n"/>
      <c r="E218" s="11" t="n"/>
      <c r="F218" s="8" t="n"/>
    </row>
    <row r="219">
      <c r="A219" s="8" t="n"/>
      <c r="B219" s="8" t="n"/>
      <c r="C219" s="8" t="n"/>
      <c r="D219" s="8" t="n"/>
      <c r="E219" s="11" t="n"/>
      <c r="F219" s="8" t="n"/>
    </row>
    <row r="220">
      <c r="A220" s="8" t="n"/>
      <c r="B220" s="8" t="n"/>
      <c r="C220" s="8" t="n"/>
      <c r="D220" s="8" t="n"/>
      <c r="E220" s="11" t="n"/>
      <c r="F220" s="8" t="n"/>
    </row>
    <row r="221">
      <c r="A221" s="8" t="n"/>
      <c r="B221" s="8" t="n"/>
      <c r="C221" s="8" t="n"/>
      <c r="D221" s="8" t="n"/>
      <c r="E221" s="11" t="n"/>
      <c r="F221" s="8" t="n"/>
    </row>
    <row r="222">
      <c r="A222" s="8" t="n"/>
      <c r="B222" s="8" t="n"/>
      <c r="C222" s="8" t="n"/>
      <c r="D222" s="8" t="n"/>
      <c r="E222" s="11" t="n"/>
      <c r="F222" s="8" t="n"/>
    </row>
    <row r="223">
      <c r="A223" s="8" t="n"/>
      <c r="B223" s="8" t="n"/>
      <c r="C223" s="8" t="n"/>
      <c r="D223" s="8" t="n"/>
      <c r="E223" s="11" t="n"/>
      <c r="F223" s="8" t="n"/>
    </row>
    <row r="224">
      <c r="A224" s="8" t="n"/>
      <c r="B224" s="8" t="n"/>
      <c r="C224" s="8" t="n"/>
      <c r="D224" s="8" t="n"/>
      <c r="E224" s="11" t="n"/>
      <c r="F224" s="8" t="n"/>
    </row>
    <row r="225">
      <c r="A225" s="8" t="n"/>
      <c r="B225" s="8" t="n"/>
      <c r="C225" s="8" t="n"/>
      <c r="D225" s="8" t="n"/>
      <c r="E225" s="11" t="n"/>
      <c r="F225" s="8" t="n"/>
    </row>
    <row r="226">
      <c r="A226" s="8" t="n"/>
      <c r="B226" s="8" t="n"/>
      <c r="C226" s="8" t="n"/>
      <c r="D226" s="8" t="n"/>
      <c r="E226" s="11" t="n"/>
      <c r="F226" s="8" t="n"/>
    </row>
    <row r="227">
      <c r="A227" s="8" t="n"/>
      <c r="B227" s="8" t="n"/>
      <c r="C227" s="8" t="n"/>
      <c r="D227" s="8" t="n"/>
      <c r="E227" s="11" t="n"/>
      <c r="F227" s="8" t="n"/>
    </row>
    <row r="228">
      <c r="A228" s="8" t="n"/>
      <c r="B228" s="8" t="n"/>
      <c r="C228" s="8" t="n"/>
      <c r="D228" s="8" t="n"/>
      <c r="E228" s="11" t="n"/>
      <c r="F228" s="8" t="n"/>
    </row>
    <row r="229">
      <c r="A229" s="8" t="n"/>
      <c r="B229" s="8" t="n"/>
      <c r="C229" s="8" t="n"/>
      <c r="D229" s="8" t="n"/>
      <c r="E229" s="11" t="n"/>
      <c r="F229" s="8" t="n"/>
    </row>
    <row r="230">
      <c r="A230" s="8" t="n"/>
      <c r="B230" s="8" t="n"/>
      <c r="C230" s="8" t="n"/>
      <c r="D230" s="8" t="n"/>
      <c r="E230" s="11" t="n"/>
      <c r="F230" s="8" t="n"/>
    </row>
    <row r="231">
      <c r="A231" s="8" t="n"/>
      <c r="B231" s="8" t="n"/>
      <c r="C231" s="8" t="n"/>
      <c r="D231" s="8" t="n"/>
      <c r="E231" s="11" t="n"/>
      <c r="F231" s="8" t="n"/>
    </row>
    <row r="232">
      <c r="A232" s="8" t="n"/>
      <c r="B232" s="8" t="n"/>
      <c r="C232" s="8" t="n"/>
      <c r="D232" s="8" t="n"/>
      <c r="E232" s="11" t="n"/>
      <c r="F232" s="8" t="n"/>
    </row>
    <row r="233">
      <c r="A233" s="8" t="n"/>
      <c r="B233" s="8" t="n"/>
      <c r="C233" s="8" t="n"/>
      <c r="D233" s="8" t="n"/>
      <c r="E233" s="11" t="n"/>
      <c r="F233" s="8" t="n"/>
    </row>
    <row r="234">
      <c r="A234" s="8" t="n"/>
      <c r="B234" s="8" t="n"/>
      <c r="C234" s="8" t="n"/>
      <c r="D234" s="8" t="n"/>
      <c r="E234" s="11" t="n"/>
      <c r="F234" s="8" t="n"/>
    </row>
    <row r="235">
      <c r="A235" s="8" t="n"/>
      <c r="B235" s="8" t="n"/>
      <c r="C235" s="8" t="n"/>
      <c r="D235" s="8" t="n"/>
      <c r="E235" s="11" t="n"/>
      <c r="F235" s="8" t="n"/>
    </row>
    <row r="236">
      <c r="A236" s="8" t="n"/>
      <c r="B236" s="8" t="n"/>
      <c r="C236" s="8" t="n"/>
      <c r="D236" s="8" t="n"/>
      <c r="E236" s="11" t="n"/>
      <c r="F236" s="8" t="n"/>
    </row>
    <row r="237">
      <c r="A237" s="8" t="n"/>
      <c r="B237" s="8" t="n"/>
      <c r="C237" s="8" t="n"/>
      <c r="D237" s="8" t="n"/>
      <c r="E237" s="11" t="n"/>
      <c r="F237" s="8" t="n"/>
    </row>
    <row r="238">
      <c r="A238" s="8" t="n"/>
      <c r="B238" s="8" t="n"/>
      <c r="C238" s="8" t="n"/>
      <c r="D238" s="8" t="n"/>
      <c r="E238" s="11" t="n"/>
      <c r="F238" s="8" t="n"/>
    </row>
    <row r="239">
      <c r="A239" s="8" t="n"/>
      <c r="B239" s="8" t="n"/>
      <c r="C239" s="8" t="n"/>
      <c r="D239" s="8" t="n"/>
      <c r="E239" s="11" t="n"/>
      <c r="F239" s="8" t="n"/>
    </row>
    <row r="240">
      <c r="A240" s="8" t="n"/>
      <c r="B240" s="8" t="n"/>
      <c r="C240" s="8" t="n"/>
      <c r="D240" s="8" t="n"/>
      <c r="E240" s="11" t="n"/>
      <c r="F240" s="8" t="n"/>
    </row>
    <row r="241">
      <c r="A241" s="8" t="n"/>
      <c r="B241" s="8" t="n"/>
      <c r="C241" s="8" t="n"/>
      <c r="D241" s="8" t="n"/>
      <c r="E241" s="11" t="n"/>
      <c r="F241" s="8" t="n"/>
    </row>
    <row r="242">
      <c r="A242" s="8" t="n"/>
      <c r="B242" s="8" t="n"/>
      <c r="C242" s="8" t="n"/>
      <c r="D242" s="8" t="n"/>
      <c r="E242" s="11" t="n"/>
      <c r="F242" s="8" t="n"/>
    </row>
    <row r="243">
      <c r="A243" s="8" t="n"/>
      <c r="B243" s="8" t="n"/>
      <c r="C243" s="8" t="n"/>
      <c r="D243" s="8" t="n"/>
      <c r="E243" s="11" t="n"/>
      <c r="F243" s="8" t="n"/>
    </row>
    <row r="244">
      <c r="A244" s="8" t="n"/>
      <c r="B244" s="8" t="n"/>
      <c r="C244" s="8" t="n"/>
      <c r="D244" s="8" t="n"/>
      <c r="E244" s="11" t="n"/>
      <c r="F244" s="8" t="n"/>
    </row>
    <row r="245">
      <c r="A245" s="8" t="n"/>
      <c r="B245" s="8" t="n"/>
      <c r="C245" s="8" t="n"/>
      <c r="D245" s="8" t="n"/>
      <c r="E245" s="11" t="n"/>
      <c r="F245" s="8" t="n"/>
    </row>
    <row r="246">
      <c r="A246" s="8" t="n"/>
      <c r="B246" s="8" t="n"/>
      <c r="C246" s="8" t="n"/>
      <c r="D246" s="8" t="n"/>
      <c r="E246" s="11" t="n"/>
      <c r="F246" s="8" t="n"/>
    </row>
    <row r="247">
      <c r="A247" s="8" t="n"/>
      <c r="B247" s="8" t="n"/>
      <c r="C247" s="8" t="n"/>
      <c r="D247" s="8" t="n"/>
      <c r="E247" s="11" t="n"/>
      <c r="F247" s="8" t="n"/>
    </row>
    <row r="248">
      <c r="A248" s="8" t="n"/>
      <c r="B248" s="8" t="n"/>
      <c r="C248" s="8" t="n"/>
      <c r="D248" s="8" t="n"/>
      <c r="E248" s="11" t="n"/>
      <c r="F248" s="8" t="n"/>
    </row>
    <row r="249">
      <c r="A249" s="8" t="n"/>
      <c r="B249" s="8" t="n"/>
      <c r="C249" s="8" t="n"/>
      <c r="D249" s="8" t="n"/>
      <c r="E249" s="11" t="n"/>
      <c r="F249" s="8" t="n"/>
    </row>
    <row r="250">
      <c r="A250" s="8" t="n"/>
      <c r="B250" s="8" t="n"/>
      <c r="C250" s="8" t="n"/>
      <c r="D250" s="8" t="n"/>
      <c r="E250" s="11" t="n"/>
      <c r="F250" s="8" t="n"/>
    </row>
    <row r="251">
      <c r="A251" s="8" t="n"/>
      <c r="B251" s="8" t="n"/>
      <c r="C251" s="8" t="n"/>
      <c r="D251" s="8" t="n"/>
      <c r="E251" s="11" t="n"/>
      <c r="F251" s="8" t="n"/>
    </row>
    <row r="252">
      <c r="A252" s="8" t="n"/>
      <c r="B252" s="8" t="n"/>
      <c r="C252" s="8" t="n"/>
      <c r="D252" s="8" t="n"/>
      <c r="E252" s="11" t="n"/>
      <c r="F252" s="8" t="n"/>
    </row>
    <row r="253">
      <c r="A253" s="8" t="n"/>
      <c r="B253" s="8" t="n"/>
      <c r="C253" s="8" t="n"/>
      <c r="D253" s="8" t="n"/>
      <c r="E253" s="11" t="n"/>
      <c r="F253" s="8" t="n"/>
    </row>
    <row r="254">
      <c r="A254" s="8" t="n"/>
      <c r="B254" s="8" t="n"/>
      <c r="C254" s="8" t="n"/>
      <c r="D254" s="8" t="n"/>
      <c r="E254" s="11" t="n"/>
      <c r="F254" s="8" t="n"/>
    </row>
    <row r="255">
      <c r="A255" s="8" t="n"/>
      <c r="B255" s="8" t="n"/>
      <c r="C255" s="8" t="n"/>
      <c r="D255" s="8" t="n"/>
      <c r="E255" s="11" t="n"/>
      <c r="F255" s="8" t="n"/>
    </row>
    <row r="256">
      <c r="A256" s="8" t="n"/>
      <c r="B256" s="8" t="n"/>
      <c r="C256" s="8" t="n"/>
      <c r="D256" s="8" t="n"/>
      <c r="E256" s="11" t="n"/>
      <c r="F256" s="8" t="n"/>
    </row>
    <row r="257">
      <c r="A257" s="8" t="n"/>
      <c r="B257" s="8" t="n"/>
      <c r="C257" s="8" t="n"/>
      <c r="D257" s="8" t="n"/>
      <c r="E257" s="11" t="n"/>
      <c r="F257" s="8" t="n"/>
    </row>
    <row r="258">
      <c r="A258" s="8" t="n"/>
      <c r="B258" s="8" t="n"/>
      <c r="C258" s="8" t="n"/>
      <c r="D258" s="8" t="n"/>
      <c r="E258" s="11" t="n"/>
      <c r="F258" s="8" t="n"/>
    </row>
    <row r="259">
      <c r="A259" s="8" t="n"/>
      <c r="B259" s="8" t="n"/>
      <c r="C259" s="8" t="n"/>
      <c r="D259" s="8" t="n"/>
      <c r="E259" s="11" t="n"/>
      <c r="F259" s="8" t="n"/>
    </row>
    <row r="260">
      <c r="A260" s="8" t="n"/>
      <c r="B260" s="8" t="n"/>
      <c r="C260" s="8" t="n"/>
      <c r="D260" s="8" t="n"/>
      <c r="E260" s="11" t="n"/>
      <c r="F260" s="8" t="n"/>
    </row>
    <row r="261">
      <c r="A261" s="8" t="n"/>
      <c r="B261" s="8" t="n"/>
      <c r="C261" s="8" t="n"/>
      <c r="D261" s="8" t="n"/>
      <c r="E261" s="11" t="n"/>
      <c r="F261" s="8" t="n"/>
    </row>
    <row r="262">
      <c r="A262" s="8" t="n"/>
      <c r="B262" s="8" t="n"/>
      <c r="C262" s="8" t="n"/>
      <c r="D262" s="8" t="n"/>
      <c r="E262" s="11" t="n"/>
      <c r="F262" s="8" t="n"/>
    </row>
    <row r="263">
      <c r="A263" s="8" t="n"/>
      <c r="B263" s="8" t="n"/>
      <c r="C263" s="8" t="n"/>
      <c r="D263" s="8" t="n"/>
      <c r="E263" s="11" t="n"/>
      <c r="F263" s="8" t="n"/>
    </row>
    <row r="264">
      <c r="A264" s="8" t="n"/>
      <c r="B264" s="8" t="n"/>
      <c r="C264" s="8" t="n"/>
      <c r="D264" s="8" t="n"/>
      <c r="E264" s="11" t="n"/>
      <c r="F264" s="8" t="n"/>
    </row>
    <row r="265">
      <c r="A265" s="8" t="n"/>
      <c r="B265" s="8" t="n"/>
      <c r="C265" s="8" t="n"/>
      <c r="D265" s="8" t="n"/>
      <c r="E265" s="11" t="n"/>
      <c r="F265" s="8" t="n"/>
    </row>
    <row r="266">
      <c r="A266" s="8" t="n"/>
      <c r="B266" s="8" t="n"/>
      <c r="C266" s="8" t="n"/>
      <c r="D266" s="8" t="n"/>
      <c r="E266" s="11" t="n"/>
      <c r="F266" s="8" t="n"/>
    </row>
    <row r="267">
      <c r="A267" s="8" t="n"/>
      <c r="B267" s="8" t="n"/>
      <c r="C267" s="8" t="n"/>
      <c r="D267" s="8" t="n"/>
      <c r="E267" s="11" t="n"/>
      <c r="F267" s="8" t="n"/>
    </row>
    <row r="268">
      <c r="A268" s="8" t="n"/>
      <c r="B268" s="8" t="n"/>
      <c r="C268" s="8" t="n"/>
      <c r="D268" s="8" t="n"/>
      <c r="E268" s="11" t="n"/>
      <c r="F268" s="8" t="n"/>
    </row>
    <row r="269">
      <c r="A269" s="8" t="n"/>
      <c r="B269" s="8" t="n"/>
      <c r="C269" s="8" t="n"/>
      <c r="D269" s="8" t="n"/>
      <c r="E269" s="11" t="n"/>
      <c r="F269" s="8" t="n"/>
    </row>
    <row r="270">
      <c r="A270" s="8" t="n"/>
      <c r="B270" s="8" t="n"/>
      <c r="C270" s="8" t="n"/>
      <c r="D270" s="8" t="n"/>
      <c r="E270" s="11" t="n"/>
      <c r="F270" s="8" t="n"/>
    </row>
    <row r="271">
      <c r="A271" s="8" t="n"/>
      <c r="B271" s="8" t="n"/>
      <c r="C271" s="8" t="n"/>
      <c r="D271" s="8" t="n"/>
      <c r="E271" s="11" t="n"/>
      <c r="F271" s="8" t="n"/>
    </row>
    <row r="272">
      <c r="A272" s="8" t="n"/>
      <c r="B272" s="8" t="n"/>
      <c r="C272" s="8" t="n"/>
      <c r="D272" s="8" t="n"/>
      <c r="E272" s="11" t="n"/>
      <c r="F272" s="8" t="n"/>
    </row>
    <row r="273">
      <c r="A273" s="8" t="n"/>
      <c r="B273" s="8" t="n"/>
      <c r="C273" s="8" t="n"/>
      <c r="D273" s="8" t="n"/>
      <c r="E273" s="11" t="n"/>
      <c r="F273" s="8" t="n"/>
    </row>
    <row r="274">
      <c r="A274" s="8" t="n"/>
      <c r="B274" s="8" t="n"/>
      <c r="C274" s="8" t="n"/>
      <c r="D274" s="8" t="n"/>
      <c r="E274" s="11" t="n"/>
      <c r="F274" s="8" t="n"/>
    </row>
    <row r="275">
      <c r="A275" s="8" t="n"/>
      <c r="B275" s="8" t="n"/>
      <c r="C275" s="8" t="n"/>
      <c r="D275" s="8" t="n"/>
      <c r="E275" s="11" t="n"/>
      <c r="F275" s="8" t="n"/>
    </row>
    <row r="276">
      <c r="A276" s="8" t="n"/>
      <c r="B276" s="8" t="n"/>
      <c r="C276" s="8" t="n"/>
      <c r="D276" s="8" t="n"/>
      <c r="E276" s="11" t="n"/>
      <c r="F276" s="8" t="n"/>
    </row>
    <row r="277">
      <c r="A277" s="8" t="n"/>
      <c r="B277" s="8" t="n"/>
      <c r="C277" s="8" t="n"/>
      <c r="D277" s="8" t="n"/>
      <c r="E277" s="11" t="n"/>
      <c r="F277" s="8" t="n"/>
    </row>
    <row r="278">
      <c r="A278" s="8" t="n"/>
      <c r="B278" s="8" t="n"/>
      <c r="C278" s="8" t="n"/>
      <c r="D278" s="8" t="n"/>
      <c r="E278" s="11" t="n"/>
      <c r="F278" s="8" t="n"/>
    </row>
    <row r="279">
      <c r="A279" s="8" t="n"/>
      <c r="B279" s="8" t="n"/>
      <c r="C279" s="8" t="n"/>
      <c r="D279" s="8" t="n"/>
      <c r="E279" s="11" t="n"/>
      <c r="F279" s="8" t="n"/>
    </row>
    <row r="280">
      <c r="A280" s="8" t="n"/>
      <c r="B280" s="8" t="n"/>
      <c r="C280" s="8" t="n"/>
      <c r="D280" s="8" t="n"/>
      <c r="E280" s="11" t="n"/>
      <c r="F280" s="8" t="n"/>
    </row>
    <row r="281">
      <c r="A281" s="8" t="n"/>
      <c r="B281" s="8" t="n"/>
      <c r="C281" s="8" t="n"/>
      <c r="D281" s="8" t="n"/>
      <c r="E281" s="11" t="n"/>
      <c r="F281" s="8" t="n"/>
    </row>
    <row r="282">
      <c r="A282" s="8" t="n"/>
      <c r="B282" s="8" t="n"/>
      <c r="C282" s="8" t="n"/>
      <c r="D282" s="8" t="n"/>
      <c r="E282" s="11" t="n"/>
      <c r="F282" s="8" t="n"/>
    </row>
    <row r="283">
      <c r="A283" s="8" t="n"/>
      <c r="B283" s="8" t="n"/>
      <c r="C283" s="8" t="n"/>
      <c r="D283" s="8" t="n"/>
      <c r="E283" s="11" t="n"/>
      <c r="F283" s="8" t="n"/>
    </row>
    <row r="284">
      <c r="A284" s="8" t="n"/>
      <c r="B284" s="8" t="n"/>
      <c r="C284" s="8" t="n"/>
      <c r="D284" s="8" t="n"/>
      <c r="E284" s="11" t="n"/>
      <c r="F284" s="8" t="n"/>
    </row>
    <row r="285">
      <c r="A285" s="8" t="n"/>
      <c r="B285" s="8" t="n"/>
      <c r="C285" s="8" t="n"/>
      <c r="D285" s="8" t="n"/>
      <c r="E285" s="11" t="n"/>
      <c r="F285" s="8" t="n"/>
    </row>
    <row r="286">
      <c r="A286" s="8" t="n"/>
      <c r="B286" s="8" t="n"/>
      <c r="C286" s="8" t="n"/>
      <c r="D286" s="8" t="n"/>
      <c r="E286" s="11" t="n"/>
      <c r="F286" s="8" t="n"/>
    </row>
    <row r="287">
      <c r="A287" s="8" t="n"/>
      <c r="B287" s="8" t="n"/>
      <c r="C287" s="8" t="n"/>
      <c r="D287" s="8" t="n"/>
      <c r="E287" s="11" t="n"/>
      <c r="F287" s="8" t="n"/>
    </row>
    <row r="288">
      <c r="A288" s="8" t="n"/>
      <c r="B288" s="8" t="n"/>
      <c r="C288" s="8" t="n"/>
      <c r="D288" s="8" t="n"/>
      <c r="E288" s="11" t="n"/>
      <c r="F288" s="8" t="n"/>
    </row>
    <row r="289">
      <c r="A289" s="8" t="n"/>
      <c r="B289" s="8" t="n"/>
      <c r="C289" s="8" t="n"/>
      <c r="D289" s="8" t="n"/>
      <c r="E289" s="11" t="n"/>
      <c r="F289" s="8" t="n"/>
    </row>
    <row r="290">
      <c r="A290" s="8" t="n"/>
      <c r="B290" s="8" t="n"/>
      <c r="C290" s="8" t="n"/>
      <c r="D290" s="8" t="n"/>
      <c r="E290" s="11" t="n"/>
      <c r="F290" s="8" t="n"/>
    </row>
    <row r="291">
      <c r="A291" s="8" t="n"/>
      <c r="B291" s="8" t="n"/>
      <c r="C291" s="8" t="n"/>
      <c r="D291" s="8" t="n"/>
      <c r="E291" s="11" t="n"/>
      <c r="F291" s="8" t="n"/>
    </row>
    <row r="292">
      <c r="A292" s="8" t="n"/>
      <c r="B292" s="8" t="n"/>
      <c r="C292" s="8" t="n"/>
      <c r="D292" s="8" t="n"/>
      <c r="E292" s="11" t="n"/>
      <c r="F292" s="8" t="n"/>
    </row>
    <row r="293">
      <c r="A293" s="8" t="n"/>
      <c r="B293" s="8" t="n"/>
      <c r="C293" s="8" t="n"/>
      <c r="D293" s="8" t="n"/>
      <c r="E293" s="11" t="n"/>
      <c r="F293" s="8" t="n"/>
    </row>
    <row r="294">
      <c r="A294" s="8" t="n"/>
      <c r="B294" s="8" t="n"/>
      <c r="C294" s="8" t="n"/>
      <c r="D294" s="8" t="n"/>
      <c r="E294" s="11" t="n"/>
      <c r="F294" s="8" t="n"/>
    </row>
    <row r="295">
      <c r="A295" s="8" t="n"/>
      <c r="B295" s="8" t="n"/>
      <c r="C295" s="8" t="n"/>
      <c r="D295" s="8" t="n"/>
      <c r="E295" s="11" t="n"/>
      <c r="F295" s="8" t="n"/>
    </row>
    <row r="296">
      <c r="A296" s="8" t="n"/>
      <c r="B296" s="8" t="n"/>
      <c r="C296" s="8" t="n"/>
      <c r="D296" s="8" t="n"/>
      <c r="E296" s="11" t="n"/>
      <c r="F296" s="8" t="n"/>
    </row>
    <row r="297">
      <c r="A297" s="8" t="n"/>
      <c r="B297" s="8" t="n"/>
      <c r="C297" s="8" t="n"/>
      <c r="D297" s="8" t="n"/>
      <c r="E297" s="11" t="n"/>
      <c r="F297" s="8" t="n"/>
    </row>
    <row r="298">
      <c r="A298" s="8" t="n"/>
      <c r="B298" s="8" t="n"/>
      <c r="C298" s="8" t="n"/>
      <c r="D298" s="8" t="n"/>
      <c r="E298" s="11" t="n"/>
      <c r="F298" s="8" t="n"/>
    </row>
    <row r="299">
      <c r="A299" s="8" t="n"/>
      <c r="B299" s="8" t="n"/>
      <c r="C299" s="8" t="n"/>
      <c r="D299" s="8" t="n"/>
      <c r="E299" s="11" t="n"/>
      <c r="F299" s="8" t="n"/>
    </row>
    <row r="300">
      <c r="A300" s="8" t="n"/>
      <c r="B300" s="8" t="n"/>
      <c r="C300" s="8" t="n"/>
      <c r="D300" s="8" t="n"/>
      <c r="E300" s="11" t="n"/>
      <c r="F300" s="8" t="n"/>
    </row>
    <row r="301">
      <c r="E301" s="13" t="n"/>
    </row>
    <row r="302">
      <c r="E302" s="13" t="n"/>
    </row>
    <row r="303">
      <c r="E303" s="13" t="n"/>
    </row>
    <row r="304">
      <c r="E304" s="13" t="n"/>
    </row>
    <row r="305">
      <c r="E305" s="13" t="n"/>
    </row>
    <row r="306">
      <c r="E306" s="13" t="n"/>
    </row>
    <row r="307">
      <c r="E307" s="13" t="n"/>
    </row>
    <row r="308">
      <c r="E308" s="13" t="n"/>
    </row>
    <row r="309">
      <c r="E309" s="13" t="n"/>
    </row>
    <row r="310">
      <c r="E310" s="13" t="n"/>
    </row>
    <row r="311">
      <c r="E311" s="13" t="n"/>
    </row>
    <row r="312">
      <c r="E312" s="13" t="n"/>
    </row>
    <row r="313">
      <c r="E313" s="13" t="n"/>
    </row>
    <row r="314">
      <c r="E314" s="13" t="n"/>
    </row>
    <row r="315">
      <c r="E315" s="13" t="n"/>
    </row>
    <row r="316">
      <c r="E316" s="13" t="n"/>
    </row>
    <row r="317">
      <c r="E317" s="13" t="n"/>
    </row>
    <row r="318">
      <c r="E318" s="13" t="n"/>
    </row>
    <row r="319">
      <c r="E319" s="13" t="n"/>
    </row>
    <row r="320">
      <c r="E320" s="13" t="n"/>
    </row>
    <row r="321">
      <c r="E321" s="13" t="n"/>
    </row>
    <row r="322">
      <c r="E322" s="13" t="n"/>
    </row>
    <row r="323">
      <c r="E323" s="13" t="n"/>
    </row>
    <row r="324">
      <c r="E324" s="13" t="n"/>
    </row>
    <row r="325">
      <c r="E325" s="13" t="n"/>
    </row>
    <row r="326">
      <c r="E326" s="13" t="n"/>
    </row>
    <row r="327">
      <c r="E327" s="13" t="n"/>
    </row>
    <row r="328">
      <c r="E328" s="13" t="n"/>
    </row>
    <row r="329">
      <c r="E329" s="13" t="n"/>
    </row>
    <row r="330">
      <c r="E330" s="13" t="n"/>
    </row>
    <row r="331">
      <c r="E331" s="13" t="n"/>
    </row>
    <row r="332">
      <c r="E332" s="13" t="n"/>
    </row>
    <row r="333">
      <c r="E333" s="13" t="n"/>
    </row>
    <row r="334">
      <c r="E334" s="13" t="n"/>
    </row>
    <row r="335">
      <c r="E335" s="13" t="n"/>
    </row>
    <row r="336">
      <c r="E336" s="13" t="n"/>
    </row>
    <row r="337">
      <c r="E337" s="13" t="n"/>
    </row>
    <row r="338">
      <c r="E338" s="13" t="n"/>
    </row>
    <row r="339">
      <c r="E339" s="13" t="n"/>
    </row>
    <row r="340">
      <c r="E340" s="13" t="n"/>
    </row>
    <row r="341">
      <c r="E341" s="13" t="n"/>
    </row>
    <row r="342">
      <c r="E342" s="13" t="n"/>
    </row>
    <row r="343">
      <c r="E343" s="13" t="n"/>
    </row>
    <row r="344">
      <c r="E344" s="13" t="n"/>
    </row>
    <row r="345">
      <c r="E345" s="13" t="n"/>
    </row>
    <row r="346">
      <c r="E346" s="13" t="n"/>
    </row>
    <row r="347">
      <c r="E347" s="13" t="n"/>
    </row>
    <row r="348">
      <c r="E348" s="13" t="n"/>
    </row>
    <row r="349">
      <c r="E349" s="13" t="n"/>
    </row>
    <row r="350">
      <c r="E350" s="13" t="n"/>
    </row>
    <row r="351">
      <c r="E351" s="13" t="n"/>
    </row>
    <row r="352">
      <c r="E352" s="13" t="n"/>
    </row>
    <row r="353">
      <c r="E353" s="13" t="n"/>
    </row>
    <row r="354">
      <c r="E354" s="13" t="n"/>
    </row>
    <row r="355">
      <c r="E355" s="13" t="n"/>
    </row>
    <row r="356">
      <c r="E356" s="13" t="n"/>
    </row>
    <row r="357">
      <c r="E357" s="13" t="n"/>
    </row>
    <row r="358">
      <c r="E358" s="13" t="n"/>
    </row>
    <row r="359">
      <c r="E359" s="13" t="n"/>
    </row>
    <row r="360">
      <c r="E360" s="13" t="n"/>
    </row>
    <row r="361">
      <c r="E361" s="13" t="n"/>
    </row>
    <row r="362">
      <c r="E362" s="13" t="n"/>
    </row>
    <row r="363">
      <c r="E363" s="13" t="n"/>
    </row>
    <row r="364">
      <c r="E364" s="13" t="n"/>
    </row>
    <row r="365">
      <c r="E365" s="13" t="n"/>
    </row>
    <row r="366">
      <c r="E366" s="13" t="n"/>
    </row>
    <row r="367">
      <c r="E367" s="13" t="n"/>
    </row>
    <row r="368">
      <c r="E368" s="13" t="n"/>
    </row>
    <row r="369">
      <c r="E369" s="13" t="n"/>
    </row>
    <row r="370">
      <c r="E370" s="13" t="n"/>
    </row>
    <row r="371">
      <c r="E371" s="13" t="n"/>
    </row>
    <row r="372">
      <c r="E372" s="13" t="n"/>
    </row>
    <row r="373">
      <c r="E373" s="13" t="n"/>
    </row>
    <row r="374">
      <c r="E374" s="13" t="n"/>
    </row>
    <row r="375">
      <c r="E375" s="13" t="n"/>
    </row>
    <row r="376">
      <c r="E376" s="13" t="n"/>
    </row>
    <row r="377">
      <c r="E377" s="13" t="n"/>
    </row>
    <row r="378">
      <c r="E378" s="13" t="n"/>
    </row>
    <row r="379">
      <c r="E379" s="13" t="n"/>
    </row>
    <row r="380">
      <c r="E380" s="13" t="n"/>
    </row>
    <row r="381">
      <c r="E381" s="13" t="n"/>
    </row>
    <row r="382">
      <c r="E382" s="13" t="n"/>
    </row>
    <row r="383">
      <c r="E383" s="13" t="n"/>
    </row>
    <row r="384">
      <c r="E384" s="13" t="n"/>
    </row>
    <row r="385">
      <c r="E385" s="13" t="n"/>
    </row>
    <row r="386">
      <c r="E386" s="13" t="n"/>
    </row>
    <row r="387">
      <c r="E387" s="13" t="n"/>
    </row>
    <row r="388">
      <c r="E388" s="13" t="n"/>
    </row>
    <row r="389">
      <c r="E389" s="13" t="n"/>
    </row>
    <row r="390">
      <c r="E390" s="13" t="n"/>
    </row>
    <row r="391">
      <c r="E391" s="13" t="n"/>
    </row>
    <row r="392">
      <c r="E392" s="13" t="n"/>
    </row>
    <row r="393">
      <c r="E393" s="13" t="n"/>
    </row>
    <row r="394">
      <c r="E394" s="13" t="n"/>
    </row>
    <row r="395">
      <c r="E395" s="13" t="n"/>
    </row>
    <row r="396">
      <c r="E396" s="13" t="n"/>
    </row>
    <row r="397">
      <c r="E397" s="13" t="n"/>
    </row>
    <row r="398">
      <c r="E398" s="13" t="n"/>
    </row>
    <row r="399">
      <c r="E399" s="13" t="n"/>
    </row>
    <row r="400">
      <c r="E400" s="13" t="n"/>
    </row>
    <row r="401">
      <c r="E401" s="13" t="n"/>
    </row>
    <row r="402">
      <c r="E402" s="13" t="n"/>
    </row>
    <row r="403">
      <c r="E403" s="13" t="n"/>
    </row>
    <row r="404">
      <c r="E404" s="13" t="n"/>
    </row>
    <row r="405">
      <c r="E405" s="13" t="n"/>
    </row>
    <row r="406">
      <c r="E406" s="13" t="n"/>
    </row>
    <row r="407">
      <c r="E407" s="13" t="n"/>
    </row>
    <row r="408">
      <c r="E408" s="13" t="n"/>
    </row>
    <row r="409">
      <c r="E409" s="13" t="n"/>
    </row>
    <row r="410">
      <c r="E410" s="13" t="n"/>
    </row>
    <row r="411">
      <c r="E411" s="13" t="n"/>
    </row>
    <row r="412">
      <c r="E412" s="13" t="n"/>
    </row>
    <row r="413">
      <c r="E413" s="13" t="n"/>
    </row>
    <row r="414">
      <c r="E414" s="13" t="n"/>
    </row>
    <row r="415">
      <c r="E415" s="13" t="n"/>
    </row>
    <row r="416">
      <c r="E416" s="13" t="n"/>
    </row>
    <row r="417">
      <c r="E417" s="13" t="n"/>
    </row>
    <row r="418">
      <c r="E418" s="13" t="n"/>
    </row>
    <row r="419">
      <c r="E419" s="13" t="n"/>
    </row>
    <row r="420">
      <c r="E420" s="13" t="n"/>
    </row>
    <row r="421">
      <c r="E421" s="13" t="n"/>
    </row>
    <row r="422">
      <c r="E422" s="13" t="n"/>
    </row>
    <row r="423">
      <c r="E423" s="13" t="n"/>
    </row>
    <row r="424">
      <c r="E424" s="13" t="n"/>
    </row>
    <row r="425">
      <c r="E425" s="13" t="n"/>
    </row>
    <row r="426">
      <c r="E426" s="13" t="n"/>
    </row>
    <row r="427">
      <c r="E427" s="13" t="n"/>
    </row>
    <row r="428">
      <c r="E428" s="13" t="n"/>
    </row>
    <row r="429">
      <c r="E429" s="13" t="n"/>
    </row>
    <row r="430">
      <c r="E430" s="13" t="n"/>
    </row>
    <row r="431">
      <c r="E431" s="13" t="n"/>
    </row>
    <row r="432">
      <c r="E432" s="13" t="n"/>
    </row>
    <row r="433">
      <c r="E433" s="13" t="n"/>
    </row>
    <row r="434">
      <c r="E434" s="13" t="n"/>
    </row>
    <row r="435">
      <c r="E435" s="13" t="n"/>
    </row>
    <row r="436">
      <c r="E436" s="13" t="n"/>
    </row>
    <row r="437">
      <c r="E437" s="13" t="n"/>
    </row>
    <row r="438">
      <c r="E438" s="13" t="n"/>
    </row>
    <row r="439">
      <c r="E439" s="13" t="n"/>
    </row>
    <row r="440">
      <c r="E440" s="13" t="n"/>
    </row>
    <row r="441">
      <c r="E441" s="13" t="n"/>
    </row>
    <row r="442">
      <c r="E442" s="13" t="n"/>
    </row>
    <row r="443">
      <c r="E443" s="13" t="n"/>
    </row>
    <row r="444">
      <c r="E444" s="13" t="n"/>
    </row>
    <row r="445">
      <c r="E445" s="13" t="n"/>
    </row>
    <row r="446">
      <c r="E446" s="13" t="n"/>
    </row>
    <row r="447">
      <c r="E447" s="13" t="n"/>
    </row>
    <row r="448">
      <c r="E448" s="13" t="n"/>
    </row>
    <row r="449">
      <c r="E449" s="13" t="n"/>
    </row>
    <row r="450">
      <c r="E450" s="13" t="n"/>
    </row>
    <row r="451">
      <c r="E451" s="13" t="n"/>
    </row>
    <row r="452">
      <c r="E452" s="13" t="n"/>
    </row>
    <row r="453">
      <c r="E453" s="13" t="n"/>
    </row>
    <row r="454">
      <c r="E454" s="13" t="n"/>
    </row>
    <row r="455">
      <c r="E455" s="13" t="n"/>
    </row>
    <row r="456">
      <c r="E456" s="13" t="n"/>
    </row>
    <row r="457">
      <c r="E457" s="13" t="n"/>
    </row>
    <row r="458">
      <c r="E458" s="13" t="n"/>
    </row>
    <row r="459">
      <c r="E459" s="13" t="n"/>
    </row>
    <row r="460">
      <c r="E460" s="13" t="n"/>
    </row>
    <row r="461">
      <c r="E461" s="13" t="n"/>
    </row>
    <row r="462">
      <c r="E462" s="13" t="n"/>
    </row>
    <row r="463">
      <c r="E463" s="13" t="n"/>
    </row>
    <row r="464">
      <c r="E464" s="13" t="n"/>
    </row>
    <row r="465">
      <c r="E465" s="13" t="n"/>
    </row>
    <row r="466">
      <c r="E466" s="13" t="n"/>
    </row>
    <row r="467">
      <c r="E467" s="13" t="n"/>
    </row>
    <row r="468">
      <c r="E468" s="13" t="n"/>
    </row>
    <row r="469">
      <c r="E469" s="13" t="n"/>
    </row>
    <row r="470">
      <c r="E470" s="13" t="n"/>
    </row>
    <row r="471">
      <c r="E471" s="13" t="n"/>
    </row>
    <row r="472">
      <c r="E472" s="13" t="n"/>
    </row>
    <row r="473">
      <c r="E473" s="13" t="n"/>
    </row>
    <row r="474">
      <c r="E474" s="13" t="n"/>
    </row>
    <row r="475">
      <c r="E475" s="13" t="n"/>
    </row>
    <row r="476">
      <c r="E476" s="13" t="n"/>
    </row>
    <row r="477">
      <c r="E477" s="13" t="n"/>
    </row>
    <row r="478">
      <c r="E478" s="13" t="n"/>
    </row>
    <row r="479">
      <c r="E479" s="13" t="n"/>
    </row>
    <row r="480">
      <c r="E480" s="13" t="n"/>
    </row>
    <row r="481">
      <c r="E481" s="13" t="n"/>
    </row>
    <row r="482">
      <c r="E482" s="13" t="n"/>
    </row>
    <row r="483">
      <c r="E483" s="13" t="n"/>
    </row>
    <row r="484">
      <c r="E484" s="13" t="n"/>
    </row>
    <row r="485">
      <c r="E485" s="13" t="n"/>
    </row>
    <row r="486">
      <c r="E486" s="13" t="n"/>
    </row>
    <row r="487">
      <c r="E487" s="13" t="n"/>
    </row>
    <row r="488">
      <c r="E488" s="13" t="n"/>
    </row>
    <row r="489">
      <c r="E489" s="13" t="n"/>
    </row>
    <row r="490">
      <c r="E490" s="13" t="n"/>
    </row>
    <row r="491">
      <c r="E491" s="13" t="n"/>
    </row>
    <row r="492">
      <c r="E492" s="13" t="n"/>
    </row>
    <row r="493">
      <c r="E493" s="13" t="n"/>
    </row>
    <row r="494">
      <c r="E494" s="13" t="n"/>
    </row>
    <row r="495">
      <c r="E495" s="13" t="n"/>
    </row>
    <row r="496">
      <c r="E496" s="13" t="n"/>
    </row>
    <row r="497">
      <c r="E497" s="13" t="n"/>
    </row>
    <row r="498">
      <c r="E498" s="13" t="n"/>
    </row>
    <row r="499">
      <c r="E499" s="13" t="n"/>
    </row>
    <row r="500">
      <c r="E500" s="13" t="n"/>
    </row>
    <row r="501">
      <c r="E501" s="13" t="n"/>
    </row>
    <row r="502">
      <c r="E502" s="13" t="n"/>
    </row>
    <row r="503">
      <c r="E503" s="13" t="n"/>
    </row>
    <row r="504">
      <c r="E504" s="13" t="n"/>
    </row>
    <row r="505">
      <c r="E505" s="13" t="n"/>
    </row>
    <row r="506">
      <c r="E506" s="13" t="n"/>
    </row>
    <row r="507">
      <c r="E507" s="13" t="n"/>
    </row>
    <row r="508">
      <c r="E508" s="13" t="n"/>
    </row>
    <row r="509">
      <c r="E509" s="13" t="n"/>
    </row>
    <row r="510">
      <c r="E510" s="13" t="n"/>
    </row>
    <row r="511">
      <c r="E511" s="13" t="n"/>
    </row>
    <row r="512">
      <c r="E512" s="13" t="n"/>
    </row>
    <row r="513">
      <c r="E513" s="13" t="n"/>
    </row>
    <row r="514">
      <c r="E514" s="13" t="n"/>
    </row>
    <row r="515">
      <c r="E515" s="13" t="n"/>
    </row>
    <row r="516">
      <c r="E516" s="13" t="n"/>
    </row>
    <row r="517">
      <c r="E517" s="13" t="n"/>
    </row>
    <row r="518">
      <c r="E518" s="13" t="n"/>
    </row>
    <row r="519">
      <c r="E519" s="13" t="n"/>
    </row>
    <row r="520">
      <c r="E520" s="13" t="n"/>
    </row>
    <row r="521">
      <c r="E521" s="13" t="n"/>
    </row>
    <row r="522">
      <c r="E522" s="13" t="n"/>
    </row>
    <row r="523">
      <c r="E523" s="13" t="n"/>
    </row>
    <row r="524">
      <c r="E524" s="13" t="n"/>
    </row>
    <row r="525">
      <c r="E525" s="13" t="n"/>
    </row>
    <row r="526">
      <c r="E526" s="13" t="n"/>
    </row>
    <row r="527">
      <c r="E527" s="13" t="n"/>
    </row>
    <row r="528">
      <c r="E528" s="13" t="n"/>
    </row>
    <row r="529">
      <c r="E529" s="13" t="n"/>
    </row>
    <row r="530">
      <c r="E530" s="13" t="n"/>
    </row>
    <row r="531">
      <c r="E531" s="13" t="n"/>
    </row>
    <row r="532">
      <c r="E532" s="13" t="n"/>
    </row>
    <row r="533">
      <c r="E533" s="13" t="n"/>
    </row>
    <row r="534">
      <c r="E534" s="13" t="n"/>
    </row>
    <row r="535">
      <c r="E535" s="13" t="n"/>
    </row>
    <row r="536">
      <c r="E536" s="13" t="n"/>
    </row>
    <row r="537">
      <c r="E537" s="13" t="n"/>
    </row>
    <row r="538">
      <c r="E538" s="13" t="n"/>
    </row>
    <row r="539">
      <c r="E539" s="13" t="n"/>
    </row>
    <row r="540">
      <c r="E540" s="13" t="n"/>
    </row>
    <row r="541">
      <c r="E541" s="13" t="n"/>
    </row>
    <row r="542">
      <c r="E542" s="13" t="n"/>
    </row>
    <row r="543">
      <c r="E543" s="13" t="n"/>
    </row>
    <row r="544">
      <c r="E544" s="13" t="n"/>
    </row>
    <row r="545">
      <c r="E545" s="13" t="n"/>
    </row>
    <row r="546">
      <c r="E546" s="13" t="n"/>
    </row>
    <row r="547">
      <c r="E547" s="13" t="n"/>
    </row>
    <row r="548">
      <c r="E548" s="13" t="n"/>
    </row>
    <row r="549">
      <c r="E549" s="13" t="n"/>
    </row>
    <row r="550">
      <c r="E550" s="13" t="n"/>
    </row>
    <row r="551">
      <c r="E551" s="13" t="n"/>
    </row>
    <row r="552">
      <c r="E552" s="13" t="n"/>
    </row>
    <row r="553">
      <c r="E553" s="13" t="n"/>
    </row>
    <row r="554">
      <c r="E554" s="13" t="n"/>
    </row>
    <row r="555">
      <c r="E555" s="13" t="n"/>
    </row>
    <row r="556">
      <c r="E556" s="13" t="n"/>
    </row>
    <row r="557">
      <c r="E557" s="13" t="n"/>
    </row>
    <row r="558">
      <c r="E558" s="13" t="n"/>
    </row>
    <row r="559">
      <c r="E559" s="13" t="n"/>
    </row>
    <row r="560">
      <c r="E560" s="13" t="n"/>
    </row>
    <row r="561">
      <c r="E561" s="13" t="n"/>
    </row>
    <row r="562">
      <c r="E562" s="13" t="n"/>
    </row>
    <row r="563">
      <c r="E563" s="13" t="n"/>
    </row>
    <row r="564">
      <c r="E564" s="13" t="n"/>
    </row>
    <row r="565">
      <c r="E565" s="13" t="n"/>
    </row>
    <row r="566">
      <c r="E566" s="13" t="n"/>
    </row>
    <row r="567">
      <c r="E567" s="13" t="n"/>
    </row>
    <row r="568">
      <c r="E568" s="13" t="n"/>
    </row>
    <row r="569">
      <c r="E569" s="13" t="n"/>
    </row>
    <row r="570">
      <c r="E570" s="13" t="n"/>
    </row>
    <row r="571">
      <c r="E571" s="13" t="n"/>
    </row>
    <row r="572">
      <c r="E572" s="13" t="n"/>
    </row>
    <row r="573">
      <c r="E573" s="13" t="n"/>
    </row>
    <row r="574">
      <c r="E574" s="13" t="n"/>
    </row>
    <row r="575">
      <c r="E575" s="13" t="n"/>
    </row>
    <row r="576">
      <c r="E576" s="13" t="n"/>
    </row>
    <row r="577">
      <c r="E577" s="13" t="n"/>
    </row>
    <row r="578">
      <c r="E578" s="13" t="n"/>
    </row>
    <row r="579">
      <c r="E579" s="13" t="n"/>
    </row>
    <row r="580">
      <c r="E580" s="13" t="n"/>
    </row>
    <row r="581">
      <c r="E581" s="13" t="n"/>
    </row>
    <row r="582">
      <c r="E582" s="13" t="n"/>
    </row>
    <row r="583">
      <c r="E583" s="13" t="n"/>
    </row>
    <row r="584">
      <c r="E584" s="13" t="n"/>
    </row>
    <row r="585">
      <c r="E585" s="13" t="n"/>
    </row>
    <row r="586">
      <c r="E586" s="13" t="n"/>
    </row>
    <row r="587">
      <c r="E587" s="13" t="n"/>
    </row>
    <row r="588">
      <c r="E588" s="13" t="n"/>
    </row>
    <row r="589">
      <c r="E589" s="13" t="n"/>
    </row>
    <row r="590">
      <c r="E590" s="13" t="n"/>
    </row>
    <row r="591">
      <c r="E591" s="13" t="n"/>
    </row>
    <row r="592">
      <c r="E592" s="13" t="n"/>
    </row>
    <row r="593">
      <c r="E593" s="13" t="n"/>
    </row>
    <row r="594">
      <c r="E594" s="13" t="n"/>
    </row>
    <row r="595">
      <c r="E595" s="13" t="n"/>
    </row>
    <row r="596">
      <c r="E596" s="13" t="n"/>
    </row>
    <row r="597">
      <c r="E597" s="13" t="n"/>
    </row>
    <row r="598">
      <c r="E598" s="13" t="n"/>
    </row>
    <row r="599">
      <c r="E599" s="13" t="n"/>
    </row>
    <row r="600">
      <c r="E600" s="13" t="n"/>
    </row>
    <row r="601">
      <c r="E601" s="13" t="n"/>
    </row>
    <row r="602">
      <c r="E602" s="13" t="n"/>
    </row>
    <row r="603">
      <c r="E603" s="13" t="n"/>
    </row>
    <row r="604">
      <c r="E604" s="13" t="n"/>
    </row>
    <row r="605">
      <c r="E605" s="13" t="n"/>
    </row>
    <row r="606">
      <c r="E606" s="13" t="n"/>
    </row>
    <row r="607">
      <c r="E607" s="13" t="n"/>
    </row>
    <row r="608">
      <c r="E608" s="13" t="n"/>
    </row>
    <row r="609">
      <c r="E609" s="13" t="n"/>
    </row>
    <row r="610">
      <c r="E610" s="13" t="n"/>
    </row>
    <row r="611">
      <c r="E611" s="13" t="n"/>
    </row>
    <row r="612">
      <c r="E612" s="13" t="n"/>
    </row>
    <row r="613">
      <c r="E613" s="13" t="n"/>
    </row>
    <row r="614">
      <c r="E614" s="13" t="n"/>
    </row>
    <row r="615">
      <c r="E615" s="13" t="n"/>
    </row>
    <row r="616">
      <c r="E616" s="13" t="n"/>
    </row>
    <row r="617">
      <c r="E617" s="13" t="n"/>
    </row>
    <row r="618">
      <c r="E618" s="13" t="n"/>
    </row>
    <row r="619">
      <c r="E619" s="13" t="n"/>
    </row>
    <row r="620">
      <c r="E620" s="13" t="n"/>
    </row>
    <row r="621">
      <c r="E621" s="13" t="n"/>
    </row>
    <row r="622">
      <c r="E622" s="13" t="n"/>
    </row>
    <row r="623">
      <c r="E623" s="13" t="n"/>
    </row>
    <row r="624">
      <c r="E624" s="13" t="n"/>
    </row>
    <row r="625">
      <c r="E625" s="13" t="n"/>
    </row>
    <row r="626">
      <c r="E626" s="13" t="n"/>
    </row>
    <row r="627">
      <c r="E627" s="13" t="n"/>
    </row>
    <row r="628">
      <c r="E628" s="13" t="n"/>
    </row>
    <row r="629">
      <c r="E629" s="13" t="n"/>
    </row>
    <row r="630">
      <c r="E630" s="13" t="n"/>
    </row>
    <row r="631">
      <c r="E631" s="13" t="n"/>
    </row>
    <row r="632">
      <c r="E632" s="13" t="n"/>
    </row>
    <row r="633">
      <c r="E633" s="13" t="n"/>
    </row>
    <row r="634">
      <c r="E634" s="13" t="n"/>
    </row>
    <row r="635">
      <c r="E635" s="13" t="n"/>
    </row>
    <row r="636">
      <c r="E636" s="13" t="n"/>
    </row>
    <row r="637">
      <c r="E637" s="13" t="n"/>
    </row>
    <row r="638">
      <c r="E638" s="13" t="n"/>
    </row>
    <row r="639">
      <c r="E639" s="13" t="n"/>
    </row>
    <row r="640">
      <c r="E640" s="13" t="n"/>
    </row>
    <row r="641">
      <c r="E641" s="13" t="n"/>
    </row>
    <row r="642">
      <c r="E642" s="13" t="n"/>
    </row>
    <row r="643">
      <c r="E643" s="13" t="n"/>
    </row>
    <row r="644">
      <c r="E644" s="13" t="n"/>
    </row>
    <row r="645">
      <c r="E645" s="13" t="n"/>
    </row>
    <row r="646">
      <c r="E646" s="13" t="n"/>
    </row>
    <row r="647">
      <c r="E647" s="13" t="n"/>
    </row>
    <row r="648">
      <c r="E648" s="13" t="n"/>
    </row>
    <row r="649">
      <c r="E649" s="13" t="n"/>
    </row>
    <row r="650">
      <c r="E650" s="13" t="n"/>
    </row>
    <row r="651">
      <c r="E651" s="13" t="n"/>
    </row>
    <row r="652">
      <c r="E652" s="13" t="n"/>
    </row>
    <row r="653">
      <c r="E653" s="13" t="n"/>
    </row>
    <row r="654">
      <c r="E654" s="13" t="n"/>
    </row>
    <row r="655">
      <c r="E655" s="13" t="n"/>
    </row>
    <row r="656">
      <c r="E656" s="13" t="n"/>
    </row>
    <row r="657">
      <c r="E657" s="13" t="n"/>
    </row>
    <row r="658">
      <c r="E658" s="13" t="n"/>
    </row>
    <row r="659">
      <c r="E659" s="13" t="n"/>
    </row>
    <row r="660">
      <c r="E660" s="13" t="n"/>
    </row>
    <row r="661">
      <c r="E661" s="13" t="n"/>
    </row>
    <row r="662">
      <c r="E662" s="13" t="n"/>
    </row>
    <row r="663">
      <c r="E663" s="13" t="n"/>
    </row>
    <row r="664">
      <c r="E664" s="13" t="n"/>
    </row>
    <row r="665">
      <c r="E665" s="13" t="n"/>
    </row>
    <row r="666">
      <c r="E666" s="13" t="n"/>
    </row>
    <row r="667">
      <c r="E667" s="13" t="n"/>
    </row>
    <row r="668">
      <c r="E668" s="13" t="n"/>
    </row>
    <row r="669">
      <c r="E669" s="13" t="n"/>
    </row>
    <row r="670">
      <c r="E670" s="13" t="n"/>
    </row>
    <row r="671">
      <c r="E671" s="13" t="n"/>
    </row>
    <row r="672">
      <c r="E672" s="13" t="n"/>
    </row>
    <row r="673">
      <c r="E673" s="13" t="n"/>
    </row>
    <row r="674">
      <c r="E674" s="13" t="n"/>
    </row>
    <row r="675">
      <c r="E675" s="13" t="n"/>
    </row>
    <row r="676">
      <c r="E676" s="13" t="n"/>
    </row>
    <row r="677">
      <c r="E677" s="13" t="n"/>
    </row>
    <row r="678">
      <c r="E678" s="13" t="n"/>
    </row>
    <row r="679">
      <c r="E679" s="13" t="n"/>
    </row>
    <row r="680">
      <c r="E680" s="13" t="n"/>
    </row>
    <row r="681">
      <c r="E681" s="13" t="n"/>
    </row>
    <row r="682">
      <c r="E682" s="13" t="n"/>
    </row>
    <row r="683">
      <c r="E683" s="13" t="n"/>
    </row>
    <row r="684">
      <c r="E684" s="13" t="n"/>
    </row>
    <row r="685">
      <c r="E685" s="13" t="n"/>
    </row>
    <row r="686">
      <c r="E686" s="13" t="n"/>
    </row>
    <row r="687">
      <c r="E687" s="13" t="n"/>
    </row>
    <row r="688">
      <c r="E688" s="13" t="n"/>
    </row>
    <row r="689">
      <c r="E689" s="13" t="n"/>
    </row>
    <row r="690">
      <c r="E690" s="13" t="n"/>
    </row>
    <row r="691">
      <c r="E691" s="13" t="n"/>
    </row>
    <row r="692">
      <c r="E692" s="13" t="n"/>
    </row>
    <row r="693">
      <c r="E693" s="13" t="n"/>
    </row>
    <row r="694">
      <c r="E694" s="13" t="n"/>
    </row>
    <row r="695">
      <c r="E695" s="13" t="n"/>
    </row>
    <row r="696">
      <c r="E696" s="13" t="n"/>
    </row>
    <row r="697">
      <c r="E697" s="13" t="n"/>
    </row>
    <row r="698">
      <c r="E698" s="13" t="n"/>
    </row>
    <row r="699">
      <c r="E699" s="13" t="n"/>
    </row>
    <row r="700">
      <c r="E700" s="13" t="n"/>
    </row>
    <row r="701">
      <c r="E701" s="13" t="n"/>
    </row>
    <row r="702">
      <c r="E702" s="13" t="n"/>
    </row>
    <row r="703">
      <c r="E703" s="13" t="n"/>
    </row>
    <row r="704">
      <c r="E704" s="13" t="n"/>
    </row>
    <row r="705">
      <c r="E705" s="13" t="n"/>
    </row>
    <row r="706">
      <c r="E706" s="13" t="n"/>
    </row>
    <row r="707">
      <c r="E707" s="13" t="n"/>
    </row>
    <row r="708">
      <c r="E708" s="13" t="n"/>
    </row>
    <row r="709">
      <c r="E709" s="13" t="n"/>
    </row>
    <row r="710">
      <c r="E710" s="13" t="n"/>
    </row>
    <row r="711">
      <c r="E711" s="13" t="n"/>
    </row>
    <row r="712">
      <c r="E712" s="13" t="n"/>
    </row>
    <row r="713">
      <c r="E713" s="13" t="n"/>
    </row>
    <row r="714">
      <c r="E714" s="13" t="n"/>
    </row>
    <row r="715">
      <c r="E715" s="13" t="n"/>
    </row>
    <row r="716">
      <c r="E716" s="13" t="n"/>
    </row>
    <row r="717">
      <c r="E717" s="13" t="n"/>
    </row>
    <row r="718">
      <c r="E718" s="13" t="n"/>
    </row>
    <row r="719">
      <c r="E719" s="13" t="n"/>
    </row>
    <row r="720">
      <c r="E720" s="13" t="n"/>
    </row>
    <row r="721">
      <c r="E721" s="13" t="n"/>
    </row>
    <row r="722">
      <c r="E722" s="13" t="n"/>
    </row>
    <row r="723">
      <c r="E723" s="13" t="n"/>
    </row>
    <row r="724">
      <c r="E724" s="13" t="n"/>
    </row>
    <row r="725">
      <c r="E725" s="13" t="n"/>
    </row>
    <row r="726">
      <c r="E726" s="13" t="n"/>
    </row>
    <row r="727">
      <c r="E727" s="13" t="n"/>
    </row>
    <row r="728">
      <c r="E728" s="13" t="n"/>
    </row>
    <row r="729">
      <c r="E729" s="13" t="n"/>
    </row>
    <row r="730">
      <c r="E730" s="13" t="n"/>
    </row>
    <row r="731">
      <c r="E731" s="13" t="n"/>
    </row>
    <row r="732">
      <c r="E732" s="13" t="n"/>
    </row>
    <row r="733">
      <c r="E733" s="13" t="n"/>
    </row>
    <row r="734">
      <c r="E734" s="13" t="n"/>
    </row>
    <row r="735">
      <c r="E735" s="13" t="n"/>
    </row>
    <row r="736">
      <c r="E736" s="13" t="n"/>
    </row>
    <row r="737">
      <c r="E737" s="13" t="n"/>
    </row>
    <row r="738">
      <c r="E738" s="13" t="n"/>
    </row>
    <row r="739">
      <c r="E739" s="13" t="n"/>
    </row>
    <row r="740">
      <c r="E740" s="13" t="n"/>
    </row>
    <row r="741">
      <c r="E741" s="13" t="n"/>
    </row>
    <row r="742">
      <c r="E742" s="13" t="n"/>
    </row>
    <row r="743">
      <c r="E743" s="13" t="n"/>
    </row>
    <row r="744">
      <c r="E744" s="13" t="n"/>
    </row>
    <row r="745">
      <c r="E745" s="13" t="n"/>
    </row>
    <row r="746">
      <c r="E746" s="13" t="n"/>
    </row>
    <row r="747">
      <c r="E747" s="13" t="n"/>
    </row>
    <row r="748">
      <c r="E748" s="13" t="n"/>
    </row>
    <row r="749">
      <c r="E749" s="13" t="n"/>
    </row>
    <row r="750">
      <c r="E750" s="13" t="n"/>
    </row>
    <row r="751">
      <c r="E751" s="13" t="n"/>
    </row>
    <row r="752">
      <c r="E752" s="13" t="n"/>
    </row>
    <row r="753">
      <c r="E753" s="13" t="n"/>
    </row>
    <row r="754">
      <c r="E754" s="13" t="n"/>
    </row>
    <row r="755">
      <c r="E755" s="13" t="n"/>
    </row>
    <row r="756">
      <c r="E756" s="13" t="n"/>
    </row>
    <row r="757">
      <c r="E757" s="13" t="n"/>
    </row>
    <row r="758">
      <c r="E758" s="13" t="n"/>
    </row>
    <row r="759">
      <c r="E759" s="13" t="n"/>
    </row>
    <row r="760">
      <c r="E760" s="13" t="n"/>
    </row>
    <row r="761">
      <c r="E761" s="13" t="n"/>
    </row>
    <row r="762">
      <c r="E762" s="13" t="n"/>
    </row>
    <row r="763">
      <c r="E763" s="13" t="n"/>
    </row>
    <row r="764">
      <c r="E764" s="13" t="n"/>
    </row>
    <row r="765">
      <c r="E765" s="13" t="n"/>
    </row>
    <row r="766">
      <c r="E766" s="13" t="n"/>
    </row>
    <row r="767">
      <c r="E767" s="13" t="n"/>
    </row>
    <row r="768">
      <c r="E768" s="13" t="n"/>
    </row>
    <row r="769">
      <c r="E769" s="13" t="n"/>
    </row>
    <row r="770">
      <c r="E770" s="13" t="n"/>
    </row>
    <row r="771">
      <c r="E771" s="13" t="n"/>
    </row>
    <row r="772">
      <c r="E772" s="13" t="n"/>
    </row>
    <row r="773">
      <c r="E773" s="13" t="n"/>
    </row>
    <row r="774">
      <c r="E774" s="13" t="n"/>
    </row>
    <row r="775">
      <c r="E775" s="13" t="n"/>
    </row>
    <row r="776">
      <c r="E776" s="13" t="n"/>
    </row>
    <row r="777">
      <c r="E777" s="13" t="n"/>
    </row>
    <row r="778">
      <c r="E778" s="13" t="n"/>
    </row>
    <row r="779">
      <c r="E779" s="13" t="n"/>
    </row>
    <row r="780">
      <c r="E780" s="13" t="n"/>
    </row>
    <row r="781">
      <c r="E781" s="13" t="n"/>
    </row>
    <row r="782">
      <c r="E782" s="13" t="n"/>
    </row>
    <row r="783">
      <c r="E783" s="13" t="n"/>
    </row>
    <row r="784">
      <c r="E784" s="13" t="n"/>
    </row>
    <row r="785">
      <c r="E785" s="13" t="n"/>
    </row>
    <row r="786">
      <c r="E786" s="13" t="n"/>
    </row>
    <row r="787">
      <c r="E787" s="13" t="n"/>
    </row>
    <row r="788">
      <c r="E788" s="13" t="n"/>
    </row>
    <row r="789">
      <c r="E789" s="13" t="n"/>
    </row>
    <row r="790">
      <c r="E790" s="13" t="n"/>
    </row>
    <row r="791">
      <c r="E791" s="13" t="n"/>
    </row>
    <row r="792">
      <c r="E792" s="13" t="n"/>
    </row>
    <row r="793">
      <c r="E793" s="13" t="n"/>
    </row>
    <row r="794">
      <c r="E794" s="13" t="n"/>
    </row>
    <row r="795">
      <c r="E795" s="13" t="n"/>
    </row>
    <row r="796">
      <c r="E796" s="13" t="n"/>
    </row>
    <row r="797">
      <c r="E797" s="13" t="n"/>
    </row>
    <row r="798">
      <c r="E798" s="13" t="n"/>
    </row>
    <row r="799">
      <c r="E799" s="13" t="n"/>
    </row>
    <row r="800">
      <c r="E800" s="13" t="n"/>
    </row>
    <row r="801">
      <c r="E801" s="13" t="n"/>
    </row>
    <row r="802">
      <c r="E802" s="13" t="n"/>
    </row>
    <row r="803">
      <c r="E803" s="13" t="n"/>
    </row>
    <row r="804">
      <c r="E804" s="13" t="n"/>
    </row>
    <row r="805">
      <c r="E805" s="13" t="n"/>
    </row>
    <row r="806">
      <c r="E806" s="13" t="n"/>
    </row>
    <row r="807">
      <c r="E807" s="13" t="n"/>
    </row>
    <row r="808">
      <c r="E808" s="13" t="n"/>
    </row>
    <row r="809">
      <c r="E809" s="13" t="n"/>
    </row>
    <row r="810">
      <c r="E810" s="13" t="n"/>
    </row>
    <row r="811">
      <c r="E811" s="13" t="n"/>
    </row>
    <row r="812">
      <c r="E812" s="13" t="n"/>
    </row>
    <row r="813">
      <c r="E813" s="13" t="n"/>
    </row>
    <row r="814">
      <c r="E814" s="13" t="n"/>
    </row>
    <row r="815">
      <c r="E815" s="13" t="n"/>
    </row>
    <row r="816">
      <c r="E816" s="13" t="n"/>
    </row>
    <row r="817">
      <c r="E817" s="13" t="n"/>
    </row>
    <row r="818">
      <c r="E818" s="13" t="n"/>
    </row>
    <row r="819">
      <c r="E819" s="13" t="n"/>
    </row>
    <row r="820">
      <c r="E820" s="13" t="n"/>
    </row>
    <row r="821">
      <c r="E821" s="13" t="n"/>
    </row>
    <row r="822">
      <c r="E822" s="13" t="n"/>
    </row>
    <row r="823">
      <c r="E823" s="13" t="n"/>
    </row>
    <row r="824">
      <c r="E824" s="13" t="n"/>
    </row>
    <row r="825">
      <c r="E825" s="13" t="n"/>
    </row>
    <row r="826">
      <c r="E826" s="13" t="n"/>
    </row>
    <row r="827">
      <c r="E827" s="13" t="n"/>
    </row>
    <row r="828">
      <c r="E828" s="13" t="n"/>
    </row>
    <row r="829">
      <c r="E829" s="13" t="n"/>
    </row>
    <row r="830">
      <c r="E830" s="13" t="n"/>
    </row>
    <row r="831">
      <c r="E831" s="13" t="n"/>
    </row>
    <row r="832">
      <c r="E832" s="13" t="n"/>
    </row>
    <row r="833">
      <c r="E833" s="13" t="n"/>
    </row>
    <row r="834">
      <c r="E834" s="13" t="n"/>
    </row>
    <row r="835">
      <c r="E835" s="13" t="n"/>
    </row>
    <row r="836">
      <c r="E836" s="13" t="n"/>
    </row>
    <row r="837">
      <c r="E837" s="13" t="n"/>
    </row>
    <row r="838">
      <c r="E838" s="13" t="n"/>
    </row>
    <row r="839">
      <c r="E839" s="13" t="n"/>
    </row>
    <row r="840">
      <c r="E840" s="13" t="n"/>
    </row>
    <row r="841">
      <c r="E841" s="13" t="n"/>
    </row>
    <row r="842">
      <c r="E842" s="13" t="n"/>
    </row>
    <row r="843">
      <c r="E843" s="13" t="n"/>
    </row>
    <row r="844">
      <c r="E844" s="13" t="n"/>
    </row>
    <row r="845">
      <c r="E845" s="13" t="n"/>
    </row>
    <row r="846">
      <c r="E846" s="13" t="n"/>
    </row>
    <row r="847">
      <c r="E847" s="13" t="n"/>
    </row>
    <row r="848">
      <c r="E848" s="13" t="n"/>
    </row>
    <row r="849">
      <c r="E849" s="13" t="n"/>
    </row>
    <row r="850">
      <c r="E850" s="13" t="n"/>
    </row>
    <row r="851">
      <c r="E851" s="13" t="n"/>
    </row>
    <row r="852">
      <c r="E852" s="13" t="n"/>
    </row>
    <row r="853">
      <c r="E853" s="13" t="n"/>
    </row>
    <row r="854">
      <c r="E854" s="13" t="n"/>
    </row>
    <row r="855">
      <c r="E855" s="13" t="n"/>
    </row>
    <row r="856">
      <c r="E856" s="13" t="n"/>
    </row>
    <row r="857">
      <c r="E857" s="13" t="n"/>
    </row>
    <row r="858">
      <c r="E858" s="13" t="n"/>
    </row>
    <row r="859">
      <c r="E859" s="13" t="n"/>
    </row>
    <row r="860">
      <c r="E860" s="13" t="n"/>
    </row>
    <row r="861">
      <c r="E861" s="13" t="n"/>
    </row>
    <row r="862">
      <c r="E862" s="13" t="n"/>
    </row>
    <row r="863">
      <c r="E863" s="13" t="n"/>
    </row>
    <row r="864">
      <c r="E864" s="13" t="n"/>
    </row>
    <row r="865">
      <c r="E865" s="13" t="n"/>
    </row>
    <row r="866">
      <c r="E866" s="13" t="n"/>
    </row>
    <row r="867">
      <c r="E867" s="13" t="n"/>
    </row>
    <row r="868">
      <c r="E868" s="13" t="n"/>
    </row>
    <row r="869">
      <c r="E869" s="13" t="n"/>
    </row>
    <row r="870">
      <c r="E870" s="13" t="n"/>
    </row>
    <row r="871">
      <c r="E871" s="13" t="n"/>
    </row>
    <row r="872">
      <c r="E872" s="13" t="n"/>
    </row>
    <row r="873">
      <c r="E873" s="13" t="n"/>
    </row>
    <row r="874">
      <c r="E874" s="13" t="n"/>
    </row>
    <row r="875">
      <c r="E875" s="13" t="n"/>
    </row>
    <row r="876">
      <c r="E876" s="13" t="n"/>
    </row>
    <row r="877">
      <c r="E877" s="13" t="n"/>
    </row>
    <row r="878">
      <c r="E878" s="13" t="n"/>
    </row>
    <row r="879">
      <c r="E879" s="13" t="n"/>
    </row>
    <row r="880">
      <c r="E880" s="13" t="n"/>
    </row>
    <row r="881">
      <c r="E881" s="13" t="n"/>
    </row>
    <row r="882">
      <c r="E882" s="13" t="n"/>
    </row>
    <row r="883">
      <c r="E883" s="13" t="n"/>
    </row>
    <row r="884">
      <c r="E884" s="13" t="n"/>
    </row>
    <row r="885">
      <c r="E885" s="13" t="n"/>
    </row>
    <row r="886">
      <c r="E886" s="13" t="n"/>
    </row>
    <row r="887">
      <c r="E887" s="13" t="n"/>
    </row>
    <row r="888">
      <c r="E888" s="13" t="n"/>
    </row>
    <row r="889">
      <c r="E889" s="13" t="n"/>
    </row>
    <row r="890">
      <c r="E890" s="13" t="n"/>
    </row>
    <row r="891">
      <c r="E891" s="13" t="n"/>
    </row>
    <row r="892">
      <c r="E892" s="13" t="n"/>
    </row>
    <row r="893">
      <c r="E893" s="13" t="n"/>
    </row>
    <row r="894">
      <c r="E894" s="13" t="n"/>
    </row>
    <row r="895">
      <c r="E895" s="13" t="n"/>
    </row>
    <row r="896">
      <c r="E896" s="13" t="n"/>
    </row>
    <row r="897">
      <c r="E897" s="13" t="n"/>
    </row>
    <row r="898">
      <c r="E898" s="13" t="n"/>
    </row>
    <row r="899">
      <c r="E899" s="13" t="n"/>
    </row>
    <row r="900">
      <c r="E900" s="13" t="n"/>
    </row>
    <row r="901">
      <c r="E901" s="13" t="n"/>
    </row>
    <row r="902">
      <c r="E902" s="13" t="n"/>
    </row>
    <row r="903">
      <c r="E903" s="13" t="n"/>
    </row>
    <row r="904">
      <c r="E904" s="13" t="n"/>
    </row>
    <row r="905">
      <c r="E905" s="13" t="n"/>
    </row>
    <row r="906">
      <c r="E906" s="13" t="n"/>
    </row>
    <row r="907">
      <c r="E907" s="13" t="n"/>
    </row>
    <row r="908">
      <c r="E908" s="13" t="n"/>
    </row>
    <row r="909">
      <c r="E909" s="13" t="n"/>
    </row>
    <row r="910">
      <c r="E910" s="13" t="n"/>
    </row>
    <row r="911">
      <c r="E911" s="13" t="n"/>
    </row>
    <row r="912">
      <c r="E912" s="13" t="n"/>
    </row>
    <row r="913">
      <c r="E913" s="13" t="n"/>
    </row>
    <row r="914">
      <c r="E914" s="13" t="n"/>
    </row>
    <row r="915">
      <c r="E915" s="13" t="n"/>
    </row>
    <row r="916">
      <c r="E916" s="13" t="n"/>
    </row>
    <row r="917">
      <c r="E917" s="13" t="n"/>
    </row>
    <row r="918">
      <c r="E918" s="13" t="n"/>
    </row>
    <row r="919">
      <c r="E919" s="13" t="n"/>
    </row>
    <row r="920">
      <c r="E920" s="13" t="n"/>
    </row>
    <row r="921">
      <c r="E921" s="13" t="n"/>
    </row>
    <row r="922">
      <c r="E922" s="13" t="n"/>
    </row>
    <row r="923">
      <c r="E923" s="13" t="n"/>
    </row>
    <row r="924">
      <c r="E924" s="13" t="n"/>
    </row>
    <row r="925">
      <c r="E925" s="13" t="n"/>
    </row>
    <row r="926">
      <c r="E926" s="13" t="n"/>
    </row>
    <row r="927">
      <c r="E927" s="13" t="n"/>
    </row>
    <row r="928">
      <c r="E928" s="13" t="n"/>
    </row>
    <row r="929">
      <c r="E929" s="13" t="n"/>
    </row>
    <row r="930">
      <c r="E930" s="13" t="n"/>
    </row>
    <row r="931">
      <c r="E931" s="13" t="n"/>
    </row>
    <row r="932">
      <c r="E932" s="13" t="n"/>
    </row>
    <row r="933">
      <c r="E933" s="13" t="n"/>
    </row>
    <row r="934">
      <c r="E934" s="13" t="n"/>
    </row>
    <row r="935">
      <c r="E935" s="13" t="n"/>
    </row>
    <row r="936">
      <c r="E936" s="13" t="n"/>
    </row>
    <row r="937">
      <c r="E937" s="13" t="n"/>
    </row>
    <row r="938">
      <c r="E938" s="13" t="n"/>
    </row>
    <row r="939">
      <c r="E939" s="13" t="n"/>
    </row>
    <row r="940">
      <c r="E940" s="13" t="n"/>
    </row>
    <row r="941">
      <c r="E941" s="13" t="n"/>
    </row>
    <row r="942">
      <c r="E942" s="13" t="n"/>
    </row>
    <row r="943">
      <c r="E943" s="13" t="n"/>
    </row>
    <row r="944">
      <c r="E944" s="13" t="n"/>
    </row>
    <row r="945">
      <c r="E945" s="13" t="n"/>
    </row>
    <row r="946">
      <c r="E946" s="13" t="n"/>
    </row>
    <row r="947">
      <c r="E947" s="13" t="n"/>
    </row>
    <row r="948">
      <c r="E948" s="13" t="n"/>
    </row>
    <row r="949">
      <c r="E949" s="13" t="n"/>
    </row>
    <row r="950">
      <c r="E950" s="13" t="n"/>
    </row>
    <row r="951">
      <c r="E951" s="13" t="n"/>
    </row>
    <row r="952">
      <c r="E952" s="13" t="n"/>
    </row>
    <row r="953">
      <c r="E953" s="13" t="n"/>
    </row>
    <row r="954">
      <c r="E954" s="13" t="n"/>
    </row>
    <row r="955">
      <c r="E955" s="13" t="n"/>
    </row>
    <row r="956">
      <c r="E956" s="13" t="n"/>
    </row>
    <row r="957">
      <c r="E957" s="13" t="n"/>
    </row>
    <row r="958">
      <c r="E958" s="13" t="n"/>
    </row>
    <row r="959">
      <c r="E959" s="13" t="n"/>
    </row>
    <row r="960">
      <c r="E960" s="13" t="n"/>
    </row>
    <row r="961">
      <c r="E961" s="13" t="n"/>
    </row>
    <row r="962">
      <c r="E962" s="13" t="n"/>
    </row>
    <row r="963">
      <c r="E963" s="13" t="n"/>
    </row>
    <row r="964">
      <c r="E964" s="13" t="n"/>
    </row>
    <row r="965">
      <c r="E965" s="13" t="n"/>
    </row>
    <row r="966">
      <c r="E966" s="13" t="n"/>
    </row>
    <row r="967">
      <c r="E967" s="13" t="n"/>
    </row>
    <row r="968">
      <c r="E968" s="13" t="n"/>
    </row>
    <row r="969">
      <c r="E969" s="13" t="n"/>
    </row>
    <row r="970">
      <c r="E970" s="13" t="n"/>
    </row>
    <row r="971">
      <c r="E971" s="13" t="n"/>
    </row>
    <row r="972">
      <c r="E972" s="13" t="n"/>
    </row>
    <row r="973">
      <c r="E973" s="13" t="n"/>
    </row>
    <row r="974">
      <c r="E974" s="13" t="n"/>
    </row>
    <row r="975">
      <c r="E975" s="13" t="n"/>
    </row>
    <row r="976">
      <c r="E976" s="13" t="n"/>
    </row>
    <row r="977">
      <c r="E977" s="13" t="n"/>
    </row>
    <row r="978">
      <c r="E978" s="13" t="n"/>
    </row>
    <row r="979">
      <c r="E979" s="13" t="n"/>
    </row>
    <row r="980">
      <c r="E980" s="13" t="n"/>
    </row>
    <row r="981">
      <c r="E981" s="13" t="n"/>
    </row>
    <row r="982">
      <c r="E982" s="13" t="n"/>
    </row>
    <row r="983">
      <c r="E983" s="13" t="n"/>
    </row>
    <row r="984">
      <c r="E984" s="13" t="n"/>
    </row>
    <row r="985">
      <c r="E985" s="13" t="n"/>
    </row>
    <row r="986">
      <c r="E986" s="13" t="n"/>
    </row>
    <row r="987">
      <c r="E987" s="13" t="n"/>
    </row>
    <row r="988">
      <c r="E988" s="13" t="n"/>
    </row>
    <row r="989">
      <c r="E989" s="13" t="n"/>
    </row>
    <row r="990">
      <c r="E990" s="13" t="n"/>
    </row>
    <row r="991">
      <c r="E991" s="13" t="n"/>
    </row>
    <row r="992">
      <c r="E992" s="13" t="n"/>
    </row>
    <row r="993">
      <c r="E993" s="13" t="n"/>
    </row>
    <row r="994">
      <c r="E994" s="13" t="n"/>
    </row>
    <row r="995">
      <c r="E995" s="13" t="n"/>
    </row>
    <row r="996">
      <c r="E996" s="13" t="n"/>
    </row>
    <row r="997">
      <c r="E997" s="13" t="n"/>
    </row>
    <row r="998">
      <c r="E998" s="13" t="n"/>
    </row>
    <row r="999">
      <c r="E999" s="13" t="n"/>
    </row>
    <row r="1000">
      <c r="E1000" s="13" t="n"/>
    </row>
    <row r="1001">
      <c r="E1001" s="13" t="n"/>
    </row>
    <row r="1002">
      <c r="E1002" s="13" t="n"/>
    </row>
    <row r="1003">
      <c r="E1003" s="13" t="n"/>
    </row>
    <row r="1004">
      <c r="E1004" s="13" t="n"/>
    </row>
    <row r="1005">
      <c r="E1005" s="13" t="n"/>
    </row>
    <row r="1006">
      <c r="E1006" s="13" t="n"/>
    </row>
    <row r="1007">
      <c r="E1007" s="13" t="n"/>
    </row>
    <row r="1008">
      <c r="E1008" s="13" t="n"/>
    </row>
    <row r="1009">
      <c r="E1009" s="13" t="n"/>
    </row>
    <row r="1010">
      <c r="E1010" s="13" t="n"/>
    </row>
    <row r="1011">
      <c r="E1011" s="13" t="n"/>
    </row>
    <row r="1012">
      <c r="E1012" s="13" t="n"/>
    </row>
    <row r="1013">
      <c r="E1013" s="13" t="n"/>
    </row>
    <row r="1014">
      <c r="E1014" s="13" t="n"/>
    </row>
    <row r="1015">
      <c r="E1015" s="13" t="n"/>
    </row>
    <row r="1016">
      <c r="E1016" s="13" t="n"/>
    </row>
    <row r="1017">
      <c r="E1017" s="13" t="n"/>
    </row>
    <row r="1018">
      <c r="E1018" s="13" t="n"/>
    </row>
    <row r="1019">
      <c r="E1019" s="13" t="n"/>
    </row>
    <row r="1020">
      <c r="E1020" s="13" t="n"/>
    </row>
    <row r="1021">
      <c r="E1021" s="13" t="n"/>
    </row>
    <row r="1022">
      <c r="E1022" s="13" t="n"/>
    </row>
    <row r="1023">
      <c r="E1023" s="13" t="n"/>
    </row>
    <row r="1024">
      <c r="E1024" s="13" t="n"/>
    </row>
    <row r="1025">
      <c r="E1025" s="13" t="n"/>
    </row>
    <row r="1026">
      <c r="E1026" s="13" t="n"/>
    </row>
    <row r="1027">
      <c r="E1027" s="13" t="n"/>
    </row>
    <row r="1028">
      <c r="E1028" s="13" t="n"/>
    </row>
    <row r="1029">
      <c r="E1029" s="13" t="n"/>
    </row>
    <row r="1030">
      <c r="E1030" s="13" t="n"/>
    </row>
    <row r="1031">
      <c r="E1031" s="13" t="n"/>
    </row>
    <row r="1032">
      <c r="E1032" s="13" t="n"/>
    </row>
    <row r="1033">
      <c r="E1033" s="13" t="n"/>
    </row>
    <row r="1034">
      <c r="E1034" s="13" t="n"/>
    </row>
    <row r="1035">
      <c r="E1035" s="13" t="n"/>
    </row>
    <row r="1036">
      <c r="E1036" s="13" t="n"/>
    </row>
    <row r="1037">
      <c r="E1037" s="13" t="n"/>
    </row>
    <row r="1038">
      <c r="E1038" s="13" t="n"/>
    </row>
    <row r="1039">
      <c r="E1039" s="13" t="n"/>
    </row>
    <row r="1040">
      <c r="E1040" s="13" t="n"/>
    </row>
    <row r="1041">
      <c r="E1041" s="13" t="n"/>
    </row>
    <row r="1042">
      <c r="E1042" s="13" t="n"/>
    </row>
    <row r="1043">
      <c r="E1043" s="13" t="n"/>
    </row>
    <row r="1044">
      <c r="E1044" s="13" t="n"/>
    </row>
    <row r="1045">
      <c r="E1045" s="13" t="n"/>
    </row>
    <row r="1046">
      <c r="E1046" s="13" t="n"/>
    </row>
    <row r="1047">
      <c r="E1047" s="13" t="n"/>
    </row>
    <row r="1048">
      <c r="E1048" s="13" t="n"/>
    </row>
    <row r="1049">
      <c r="E1049" s="13" t="n"/>
    </row>
    <row r="1050">
      <c r="E1050" s="13" t="n"/>
    </row>
    <row r="1051">
      <c r="E1051" s="13" t="n"/>
    </row>
    <row r="1052">
      <c r="E1052" s="13" t="n"/>
    </row>
    <row r="1053">
      <c r="E1053" s="13" t="n"/>
    </row>
    <row r="1054">
      <c r="E1054" s="13" t="n"/>
    </row>
    <row r="1055">
      <c r="E1055" s="13" t="n"/>
    </row>
    <row r="1056">
      <c r="E1056" s="13" t="n"/>
    </row>
    <row r="1057">
      <c r="E1057" s="13" t="n"/>
    </row>
    <row r="1058">
      <c r="E1058" s="13" t="n"/>
    </row>
    <row r="1059">
      <c r="E1059" s="13" t="n"/>
    </row>
    <row r="1060">
      <c r="E1060" s="13" t="n"/>
    </row>
    <row r="1061">
      <c r="E1061" s="13" t="n"/>
    </row>
    <row r="1062">
      <c r="E1062" s="13" t="n"/>
    </row>
    <row r="1063">
      <c r="E1063" s="13" t="n"/>
    </row>
    <row r="1064">
      <c r="E1064" s="13" t="n"/>
    </row>
    <row r="1065">
      <c r="E1065" s="13" t="n"/>
    </row>
    <row r="1066">
      <c r="E1066" s="13" t="n"/>
    </row>
    <row r="1067">
      <c r="E1067" s="13" t="n"/>
    </row>
    <row r="1068">
      <c r="E1068" s="13" t="n"/>
    </row>
    <row r="1069">
      <c r="E1069" s="13" t="n"/>
    </row>
    <row r="1070">
      <c r="E1070" s="13" t="n"/>
    </row>
    <row r="1071">
      <c r="E1071" s="13" t="n"/>
    </row>
    <row r="1072">
      <c r="E1072" s="13" t="n"/>
    </row>
    <row r="1073">
      <c r="E1073" s="13" t="n"/>
    </row>
    <row r="1074">
      <c r="E1074" s="13" t="n"/>
    </row>
    <row r="1075">
      <c r="E1075" s="13" t="n"/>
    </row>
    <row r="1076">
      <c r="E1076" s="13" t="n"/>
    </row>
    <row r="1077">
      <c r="E1077" s="13" t="n"/>
    </row>
    <row r="1078">
      <c r="E1078" s="13" t="n"/>
    </row>
    <row r="1079">
      <c r="E1079" s="13" t="n"/>
    </row>
    <row r="1080">
      <c r="E1080" s="13" t="n"/>
    </row>
    <row r="1081">
      <c r="E1081" s="13" t="n"/>
    </row>
    <row r="1082">
      <c r="E1082" s="13" t="n"/>
    </row>
    <row r="1083">
      <c r="E1083" s="13" t="n"/>
    </row>
    <row r="1084">
      <c r="E1084" s="13" t="n"/>
    </row>
    <row r="1085">
      <c r="E1085" s="13" t="n"/>
    </row>
    <row r="1086">
      <c r="E1086" s="13" t="n"/>
    </row>
    <row r="1087">
      <c r="E1087" s="13" t="n"/>
    </row>
    <row r="1088">
      <c r="E1088" s="13" t="n"/>
    </row>
    <row r="1089">
      <c r="E1089" s="13" t="n"/>
    </row>
    <row r="1090">
      <c r="E1090" s="13" t="n"/>
    </row>
    <row r="1091">
      <c r="E1091" s="13" t="n"/>
    </row>
    <row r="1092">
      <c r="E1092" s="13" t="n"/>
    </row>
    <row r="1093">
      <c r="E1093" s="13" t="n"/>
    </row>
    <row r="1094">
      <c r="E1094" s="13" t="n"/>
    </row>
    <row r="1095">
      <c r="E1095" s="13" t="n"/>
    </row>
    <row r="1096">
      <c r="E1096" s="13" t="n"/>
    </row>
    <row r="1097">
      <c r="E1097" s="13" t="n"/>
    </row>
    <row r="1098">
      <c r="E1098" s="13" t="n"/>
    </row>
    <row r="1099">
      <c r="E1099" s="13" t="n"/>
    </row>
    <row r="1100">
      <c r="E1100" s="13" t="n"/>
    </row>
    <row r="1101">
      <c r="E1101" s="13" t="n"/>
    </row>
    <row r="1102">
      <c r="E1102" s="13" t="n"/>
    </row>
    <row r="1103">
      <c r="E1103" s="13" t="n"/>
    </row>
    <row r="1104">
      <c r="E1104" s="13" t="n"/>
    </row>
    <row r="1105">
      <c r="E1105" s="13" t="n"/>
    </row>
    <row r="1106">
      <c r="E1106" s="13" t="n"/>
    </row>
    <row r="1107">
      <c r="E1107" s="13" t="n"/>
    </row>
    <row r="1108">
      <c r="E1108" s="13" t="n"/>
    </row>
    <row r="1109">
      <c r="E1109" s="13" t="n"/>
    </row>
    <row r="1110">
      <c r="E1110" s="13" t="n"/>
    </row>
    <row r="1111">
      <c r="E1111" s="13" t="n"/>
    </row>
    <row r="1112">
      <c r="E1112" s="13" t="n"/>
    </row>
    <row r="1113">
      <c r="E1113" s="13" t="n"/>
    </row>
    <row r="1114">
      <c r="E1114" s="13" t="n"/>
    </row>
    <row r="1115">
      <c r="E1115" s="13" t="n"/>
    </row>
    <row r="1116">
      <c r="E1116" s="13" t="n"/>
    </row>
    <row r="1117">
      <c r="E1117" s="13" t="n"/>
    </row>
    <row r="1118">
      <c r="E1118" s="13" t="n"/>
    </row>
    <row r="1119">
      <c r="E1119" s="13" t="n"/>
    </row>
    <row r="1120">
      <c r="E1120" s="13" t="n"/>
    </row>
    <row r="1121">
      <c r="E1121" s="13" t="n"/>
    </row>
    <row r="1122">
      <c r="E1122" s="13" t="n"/>
    </row>
    <row r="1123">
      <c r="E1123" s="13" t="n"/>
    </row>
    <row r="1124">
      <c r="E1124" s="13" t="n"/>
    </row>
    <row r="1125">
      <c r="E1125" s="13" t="n"/>
    </row>
    <row r="1126">
      <c r="E1126" s="13" t="n"/>
    </row>
    <row r="1127">
      <c r="E1127" s="13" t="n"/>
    </row>
    <row r="1128">
      <c r="E1128" s="13" t="n"/>
    </row>
    <row r="1129">
      <c r="E1129" s="13" t="n"/>
    </row>
    <row r="1130">
      <c r="E1130" s="13" t="n"/>
    </row>
    <row r="1131">
      <c r="E1131" s="13" t="n"/>
    </row>
    <row r="1132">
      <c r="E1132" s="13" t="n"/>
    </row>
    <row r="1133">
      <c r="E1133" s="13" t="n"/>
    </row>
    <row r="1134">
      <c r="E1134" s="13" t="n"/>
    </row>
    <row r="1135">
      <c r="E1135" s="13" t="n"/>
    </row>
    <row r="1136">
      <c r="E1136" s="13" t="n"/>
    </row>
    <row r="1137">
      <c r="E1137" s="13" t="n"/>
    </row>
    <row r="1138">
      <c r="E1138" s="13" t="n"/>
    </row>
    <row r="1139">
      <c r="E1139" s="13" t="n"/>
    </row>
    <row r="1140">
      <c r="E1140" s="13" t="n"/>
    </row>
    <row r="1141">
      <c r="E1141" s="13" t="n"/>
    </row>
    <row r="1142">
      <c r="E1142" s="13" t="n"/>
    </row>
    <row r="1143">
      <c r="E1143" s="13" t="n"/>
    </row>
    <row r="1144">
      <c r="E1144" s="13" t="n"/>
    </row>
    <row r="1145">
      <c r="E1145" s="13" t="n"/>
    </row>
    <row r="1146">
      <c r="E1146" s="13" t="n"/>
    </row>
    <row r="1147">
      <c r="E1147" s="13" t="n"/>
    </row>
    <row r="1148">
      <c r="E1148" s="13" t="n"/>
    </row>
    <row r="1149">
      <c r="E1149" s="13" t="n"/>
    </row>
    <row r="1150">
      <c r="E1150" s="13" t="n"/>
    </row>
    <row r="1151">
      <c r="E1151" s="13" t="n"/>
    </row>
    <row r="1152">
      <c r="E1152" s="13" t="n"/>
    </row>
    <row r="1153">
      <c r="E1153" s="13" t="n"/>
    </row>
    <row r="1154">
      <c r="E1154" s="13" t="n"/>
    </row>
    <row r="1155">
      <c r="E1155" s="13" t="n"/>
    </row>
    <row r="1156">
      <c r="E1156" s="13" t="n"/>
    </row>
    <row r="1157">
      <c r="E1157" s="13" t="n"/>
    </row>
    <row r="1158">
      <c r="E1158" s="13" t="n"/>
    </row>
    <row r="1159">
      <c r="E1159" s="13" t="n"/>
    </row>
    <row r="1160">
      <c r="E1160" s="13" t="n"/>
    </row>
    <row r="1161">
      <c r="E1161" s="13" t="n"/>
    </row>
    <row r="1162">
      <c r="E1162" s="13" t="n"/>
    </row>
    <row r="1163">
      <c r="E1163" s="13" t="n"/>
    </row>
    <row r="1164">
      <c r="E1164" s="13" t="n"/>
    </row>
    <row r="1165">
      <c r="E1165" s="13" t="n"/>
    </row>
    <row r="1166">
      <c r="E1166" s="13" t="n"/>
    </row>
    <row r="1167">
      <c r="E1167" s="13" t="n"/>
    </row>
    <row r="1168">
      <c r="E1168" s="13" t="n"/>
    </row>
    <row r="1169">
      <c r="E1169" s="13" t="n"/>
    </row>
    <row r="1170">
      <c r="E1170" s="13" t="n"/>
    </row>
    <row r="1171">
      <c r="E1171" s="13" t="n"/>
    </row>
    <row r="1172">
      <c r="E1172" s="13" t="n"/>
    </row>
    <row r="1173">
      <c r="E1173" s="13" t="n"/>
    </row>
    <row r="1174">
      <c r="E1174" s="13" t="n"/>
    </row>
    <row r="1175">
      <c r="E1175" s="13" t="n"/>
    </row>
    <row r="1176">
      <c r="E1176" s="13" t="n"/>
    </row>
    <row r="1177">
      <c r="E1177" s="13" t="n"/>
    </row>
    <row r="1178">
      <c r="E1178" s="13" t="n"/>
    </row>
    <row r="1179">
      <c r="E1179" s="13" t="n"/>
    </row>
    <row r="1180">
      <c r="E1180" s="13" t="n"/>
    </row>
    <row r="1181">
      <c r="E1181" s="13" t="n"/>
    </row>
    <row r="1182">
      <c r="E1182" s="13" t="n"/>
    </row>
    <row r="1183">
      <c r="E1183" s="13" t="n"/>
    </row>
    <row r="1184">
      <c r="E1184" s="13" t="n"/>
    </row>
    <row r="1185">
      <c r="E1185" s="13" t="n"/>
    </row>
    <row r="1186">
      <c r="E1186" s="13" t="n"/>
    </row>
    <row r="1187">
      <c r="E1187" s="13" t="n"/>
    </row>
    <row r="1188">
      <c r="E1188" s="13" t="n"/>
    </row>
    <row r="1189">
      <c r="E1189" s="13" t="n"/>
    </row>
    <row r="1190">
      <c r="E1190" s="13" t="n"/>
    </row>
    <row r="1191">
      <c r="E1191" s="13" t="n"/>
    </row>
    <row r="1192">
      <c r="E1192" s="13" t="n"/>
    </row>
    <row r="1193">
      <c r="E1193" s="13" t="n"/>
    </row>
    <row r="1194">
      <c r="E1194" s="13" t="n"/>
    </row>
    <row r="1195">
      <c r="E1195" s="13" t="n"/>
    </row>
    <row r="1196">
      <c r="E1196" s="13" t="n"/>
    </row>
    <row r="1197">
      <c r="E1197" s="13" t="n"/>
    </row>
    <row r="1198">
      <c r="E1198" s="13" t="n"/>
    </row>
    <row r="1199">
      <c r="E1199" s="13" t="n"/>
    </row>
    <row r="1200">
      <c r="E1200" s="13" t="n"/>
    </row>
    <row r="1201">
      <c r="E1201" s="13" t="n"/>
    </row>
    <row r="1202">
      <c r="E1202" s="13" t="n"/>
    </row>
    <row r="1203">
      <c r="E1203" s="13" t="n"/>
    </row>
    <row r="1204">
      <c r="E1204" s="13" t="n"/>
    </row>
    <row r="1205">
      <c r="E1205" s="13" t="n"/>
    </row>
    <row r="1206">
      <c r="E1206" s="13" t="n"/>
    </row>
    <row r="1207">
      <c r="E1207" s="13" t="n"/>
    </row>
    <row r="1208">
      <c r="E1208" s="13" t="n"/>
    </row>
    <row r="1209">
      <c r="E1209" s="13" t="n"/>
    </row>
    <row r="1210">
      <c r="E1210" s="13" t="n"/>
    </row>
    <row r="1211">
      <c r="E1211" s="13" t="n"/>
    </row>
    <row r="1212">
      <c r="E1212" s="13" t="n"/>
    </row>
    <row r="1213">
      <c r="E1213" s="13" t="n"/>
    </row>
    <row r="1214">
      <c r="E1214" s="13" t="n"/>
    </row>
    <row r="1215">
      <c r="E1215" s="13" t="n"/>
    </row>
    <row r="1216">
      <c r="E1216" s="13" t="n"/>
    </row>
    <row r="1217">
      <c r="E1217" s="13" t="n"/>
    </row>
    <row r="1218">
      <c r="E1218" s="13" t="n"/>
    </row>
    <row r="1219">
      <c r="E1219" s="13" t="n"/>
    </row>
    <row r="1220">
      <c r="E1220" s="13" t="n"/>
    </row>
    <row r="1221">
      <c r="E1221" s="13" t="n"/>
    </row>
    <row r="1222">
      <c r="E1222" s="13" t="n"/>
    </row>
    <row r="1223">
      <c r="E1223" s="13" t="n"/>
    </row>
    <row r="1224">
      <c r="E1224" s="13" t="n"/>
    </row>
    <row r="1225">
      <c r="E1225" s="13" t="n"/>
    </row>
    <row r="1226">
      <c r="E1226" s="13" t="n"/>
    </row>
    <row r="1227">
      <c r="E1227" s="13" t="n"/>
    </row>
    <row r="1228">
      <c r="E1228" s="13" t="n"/>
    </row>
    <row r="1229">
      <c r="E1229" s="13" t="n"/>
    </row>
    <row r="1230">
      <c r="E1230" s="13" t="n"/>
    </row>
    <row r="1231">
      <c r="E1231" s="13" t="n"/>
    </row>
    <row r="1232">
      <c r="E1232" s="13" t="n"/>
    </row>
    <row r="1233">
      <c r="E1233" s="13" t="n"/>
    </row>
    <row r="1234">
      <c r="E1234" s="13" t="n"/>
    </row>
    <row r="1235">
      <c r="E1235" s="13" t="n"/>
    </row>
    <row r="1236">
      <c r="E1236" s="13" t="n"/>
    </row>
    <row r="1237">
      <c r="E1237" s="13" t="n"/>
    </row>
    <row r="1238">
      <c r="E1238" s="13" t="n"/>
    </row>
    <row r="1239">
      <c r="E1239" s="13" t="n"/>
    </row>
    <row r="1240">
      <c r="E1240" s="13" t="n"/>
    </row>
    <row r="1241">
      <c r="E1241" s="13" t="n"/>
    </row>
    <row r="1242">
      <c r="E1242" s="13" t="n"/>
    </row>
    <row r="1243">
      <c r="E1243" s="13" t="n"/>
    </row>
    <row r="1244">
      <c r="E1244" s="13" t="n"/>
    </row>
    <row r="1245">
      <c r="E1245" s="13" t="n"/>
    </row>
    <row r="1246">
      <c r="E1246" s="13" t="n"/>
    </row>
    <row r="1247">
      <c r="E1247" s="13" t="n"/>
    </row>
    <row r="1248">
      <c r="E1248" s="13" t="n"/>
    </row>
    <row r="1249">
      <c r="E1249" s="13" t="n"/>
    </row>
    <row r="1250">
      <c r="E1250" s="13" t="n"/>
    </row>
    <row r="1251">
      <c r="E1251" s="13" t="n"/>
    </row>
    <row r="1252">
      <c r="E1252" s="13" t="n"/>
    </row>
    <row r="1253">
      <c r="E1253" s="13" t="n"/>
    </row>
    <row r="1254">
      <c r="E1254" s="13" t="n"/>
    </row>
    <row r="1255">
      <c r="E1255" s="13" t="n"/>
    </row>
    <row r="1256">
      <c r="E1256" s="13" t="n"/>
    </row>
    <row r="1257">
      <c r="E1257" s="13" t="n"/>
    </row>
    <row r="1258">
      <c r="E1258" s="13" t="n"/>
    </row>
    <row r="1259">
      <c r="E1259" s="13" t="n"/>
    </row>
    <row r="1260">
      <c r="E1260" s="13" t="n"/>
    </row>
    <row r="1261">
      <c r="E1261" s="13" t="n"/>
    </row>
    <row r="1262">
      <c r="E1262" s="13" t="n"/>
    </row>
    <row r="1263">
      <c r="E1263" s="13" t="n"/>
    </row>
    <row r="1264">
      <c r="E1264" s="13" t="n"/>
    </row>
    <row r="1265">
      <c r="E1265" s="13" t="n"/>
    </row>
    <row r="1266">
      <c r="E1266" s="13" t="n"/>
    </row>
    <row r="1267">
      <c r="E1267" s="13" t="n"/>
    </row>
    <row r="1268">
      <c r="E1268" s="13" t="n"/>
    </row>
    <row r="1269">
      <c r="E1269" s="13" t="n"/>
    </row>
    <row r="1270">
      <c r="E1270" s="13" t="n"/>
    </row>
    <row r="1271">
      <c r="E1271" s="13" t="n"/>
    </row>
    <row r="1272">
      <c r="E1272" s="13" t="n"/>
    </row>
    <row r="1273">
      <c r="E1273" s="13" t="n"/>
    </row>
    <row r="1274">
      <c r="E1274" s="13" t="n"/>
    </row>
    <row r="1275">
      <c r="E1275" s="13" t="n"/>
    </row>
    <row r="1276">
      <c r="E1276" s="13" t="n"/>
    </row>
    <row r="1277">
      <c r="E1277" s="13" t="n"/>
    </row>
    <row r="1278">
      <c r="E1278" s="13" t="n"/>
    </row>
    <row r="1279">
      <c r="E1279" s="13" t="n"/>
    </row>
    <row r="1280">
      <c r="E1280" s="13" t="n"/>
    </row>
    <row r="1281">
      <c r="E1281" s="13" t="n"/>
    </row>
    <row r="1282">
      <c r="E1282" s="13" t="n"/>
    </row>
    <row r="1283">
      <c r="E1283" s="13" t="n"/>
    </row>
    <row r="1284">
      <c r="E1284" s="13" t="n"/>
    </row>
    <row r="1285">
      <c r="E1285" s="13" t="n"/>
    </row>
    <row r="1286">
      <c r="E1286" s="13" t="n"/>
    </row>
    <row r="1287">
      <c r="E1287" s="13" t="n"/>
    </row>
    <row r="1288">
      <c r="E1288" s="13" t="n"/>
    </row>
    <row r="1289">
      <c r="E1289" s="13" t="n"/>
    </row>
    <row r="1290">
      <c r="E1290" s="13" t="n"/>
    </row>
    <row r="1291">
      <c r="E1291" s="13" t="n"/>
    </row>
    <row r="1292">
      <c r="E1292" s="13" t="n"/>
    </row>
    <row r="1293">
      <c r="E1293" s="13" t="n"/>
    </row>
    <row r="1294">
      <c r="E1294" s="13" t="n"/>
    </row>
    <row r="1295">
      <c r="E1295" s="13" t="n"/>
    </row>
    <row r="1296">
      <c r="E1296" s="13" t="n"/>
    </row>
    <row r="1297">
      <c r="E1297" s="13" t="n"/>
    </row>
    <row r="1298">
      <c r="E1298" s="13" t="n"/>
    </row>
    <row r="1299">
      <c r="E1299" s="13" t="n"/>
    </row>
    <row r="1300">
      <c r="E1300" s="13" t="n"/>
    </row>
    <row r="1301">
      <c r="E1301" s="13" t="n"/>
    </row>
    <row r="1302">
      <c r="E1302" s="13" t="n"/>
    </row>
    <row r="1303">
      <c r="E1303" s="13" t="n"/>
    </row>
    <row r="1304">
      <c r="E1304" s="13" t="n"/>
    </row>
    <row r="1305">
      <c r="E1305" s="13" t="n"/>
    </row>
    <row r="1306">
      <c r="E1306" s="13" t="n"/>
    </row>
    <row r="1307">
      <c r="E1307" s="13" t="n"/>
    </row>
    <row r="1308">
      <c r="E1308" s="13" t="n"/>
    </row>
    <row r="1309">
      <c r="E1309" s="13" t="n"/>
    </row>
    <row r="1310">
      <c r="E1310" s="13" t="n"/>
    </row>
    <row r="1311">
      <c r="E1311" s="13" t="n"/>
    </row>
    <row r="1312">
      <c r="E1312" s="13" t="n"/>
    </row>
    <row r="1313">
      <c r="E1313" s="13" t="n"/>
    </row>
    <row r="1314">
      <c r="E1314" s="13" t="n"/>
    </row>
    <row r="1315">
      <c r="E1315" s="13" t="n"/>
    </row>
    <row r="1316">
      <c r="E1316" s="13" t="n"/>
    </row>
    <row r="1317">
      <c r="E1317" s="13" t="n"/>
    </row>
    <row r="1318">
      <c r="E1318" s="13" t="n"/>
    </row>
    <row r="1319">
      <c r="E1319" s="13" t="n"/>
    </row>
    <row r="1320">
      <c r="E1320" s="13" t="n"/>
    </row>
    <row r="1321">
      <c r="E1321" s="13" t="n"/>
    </row>
    <row r="1322">
      <c r="E1322" s="13" t="n"/>
    </row>
    <row r="1323">
      <c r="E1323" s="13" t="n"/>
    </row>
    <row r="1324">
      <c r="E1324" s="13" t="n"/>
    </row>
    <row r="1325">
      <c r="E1325" s="13" t="n"/>
    </row>
    <row r="1326">
      <c r="E1326" s="13" t="n"/>
    </row>
    <row r="1327">
      <c r="E1327" s="13" t="n"/>
    </row>
    <row r="1328">
      <c r="E1328" s="13" t="n"/>
    </row>
    <row r="1329">
      <c r="E1329" s="13" t="n"/>
    </row>
    <row r="1330">
      <c r="E1330" s="13" t="n"/>
    </row>
    <row r="1331">
      <c r="E1331" s="13" t="n"/>
    </row>
    <row r="1332">
      <c r="E1332" s="13" t="n"/>
    </row>
    <row r="1333">
      <c r="E1333" s="13" t="n"/>
    </row>
    <row r="1334">
      <c r="E1334" s="13" t="n"/>
    </row>
    <row r="1335">
      <c r="E1335" s="13" t="n"/>
    </row>
    <row r="1336">
      <c r="E1336" s="13" t="n"/>
    </row>
    <row r="1337">
      <c r="E1337" s="13" t="n"/>
    </row>
    <row r="1338">
      <c r="E1338" s="13" t="n"/>
    </row>
    <row r="1339">
      <c r="E1339" s="13" t="n"/>
    </row>
    <row r="1340">
      <c r="E1340" s="13" t="n"/>
    </row>
    <row r="1341">
      <c r="E1341" s="13" t="n"/>
    </row>
    <row r="1342">
      <c r="E1342" s="13" t="n"/>
    </row>
    <row r="1343">
      <c r="E1343" s="13" t="n"/>
    </row>
    <row r="1344">
      <c r="E1344" s="13" t="n"/>
    </row>
    <row r="1345">
      <c r="E1345" s="13" t="n"/>
    </row>
    <row r="1346">
      <c r="E1346" s="13" t="n"/>
    </row>
    <row r="1347">
      <c r="E1347" s="13" t="n"/>
    </row>
    <row r="1348">
      <c r="E1348" s="13" t="n"/>
    </row>
    <row r="1349">
      <c r="E1349" s="13" t="n"/>
    </row>
    <row r="1350">
      <c r="E1350" s="13" t="n"/>
    </row>
    <row r="1351">
      <c r="E1351" s="13" t="n"/>
    </row>
    <row r="1352">
      <c r="E1352" s="13" t="n"/>
    </row>
    <row r="1353">
      <c r="E1353" s="13" t="n"/>
    </row>
    <row r="1354">
      <c r="E1354" s="13" t="n"/>
    </row>
    <row r="1355">
      <c r="E1355" s="13" t="n"/>
    </row>
    <row r="1356">
      <c r="E1356" s="13" t="n"/>
    </row>
    <row r="1357">
      <c r="E1357" s="13" t="n"/>
    </row>
    <row r="1358">
      <c r="E1358" s="13" t="n"/>
    </row>
    <row r="1359">
      <c r="E1359" s="13" t="n"/>
    </row>
    <row r="1360">
      <c r="E1360" s="13" t="n"/>
    </row>
    <row r="1361">
      <c r="E1361" s="13" t="n"/>
    </row>
    <row r="1362">
      <c r="E1362" s="13" t="n"/>
    </row>
    <row r="1363">
      <c r="E1363" s="13" t="n"/>
    </row>
    <row r="1364">
      <c r="E1364" s="13" t="n"/>
    </row>
    <row r="1365">
      <c r="E1365" s="13" t="n"/>
    </row>
    <row r="1366">
      <c r="E1366" s="13" t="n"/>
    </row>
    <row r="1367">
      <c r="E1367" s="13" t="n"/>
    </row>
    <row r="1368">
      <c r="E1368" s="13" t="n"/>
    </row>
    <row r="1369">
      <c r="E1369" s="13" t="n"/>
    </row>
    <row r="1370">
      <c r="E1370" s="13" t="n"/>
    </row>
    <row r="1371">
      <c r="E1371" s="13" t="n"/>
    </row>
    <row r="1372">
      <c r="E1372" s="13" t="n"/>
    </row>
    <row r="1373">
      <c r="E1373" s="13" t="n"/>
    </row>
    <row r="1374">
      <c r="E1374" s="13" t="n"/>
    </row>
    <row r="1375">
      <c r="E1375" s="13" t="n"/>
    </row>
    <row r="1376">
      <c r="E1376" s="13" t="n"/>
    </row>
    <row r="1377">
      <c r="E1377" s="13" t="n"/>
    </row>
    <row r="1378">
      <c r="E1378" s="13" t="n"/>
    </row>
    <row r="1379">
      <c r="E1379" s="13" t="n"/>
    </row>
    <row r="1380">
      <c r="E1380" s="13" t="n"/>
    </row>
    <row r="1381">
      <c r="E1381" s="13" t="n"/>
    </row>
    <row r="1382">
      <c r="E1382" s="13" t="n"/>
    </row>
    <row r="1383">
      <c r="E1383" s="13" t="n"/>
    </row>
    <row r="1384">
      <c r="E1384" s="13" t="n"/>
    </row>
    <row r="1385">
      <c r="E1385" s="13" t="n"/>
    </row>
    <row r="1386">
      <c r="E1386" s="13" t="n"/>
    </row>
    <row r="1387">
      <c r="E1387" s="13" t="n"/>
    </row>
    <row r="1388">
      <c r="E1388" s="13" t="n"/>
    </row>
    <row r="1389">
      <c r="E1389" s="13" t="n"/>
    </row>
    <row r="1390">
      <c r="E1390" s="13" t="n"/>
    </row>
    <row r="1391">
      <c r="E1391" s="13" t="n"/>
    </row>
    <row r="1392">
      <c r="E1392" s="13" t="n"/>
    </row>
    <row r="1393">
      <c r="E1393" s="13" t="n"/>
    </row>
    <row r="1394">
      <c r="E1394" s="13" t="n"/>
    </row>
    <row r="1395">
      <c r="E1395" s="13" t="n"/>
    </row>
    <row r="1396">
      <c r="E1396" s="13" t="n"/>
    </row>
    <row r="1397">
      <c r="E1397" s="13" t="n"/>
    </row>
    <row r="1398">
      <c r="E1398" s="13" t="n"/>
    </row>
    <row r="1399">
      <c r="E1399" s="13" t="n"/>
    </row>
    <row r="1400">
      <c r="E1400" s="13" t="n"/>
    </row>
    <row r="1401">
      <c r="E1401" s="13" t="n"/>
    </row>
    <row r="1402">
      <c r="E1402" s="13" t="n"/>
    </row>
    <row r="1403">
      <c r="E1403" s="13" t="n"/>
    </row>
    <row r="1404">
      <c r="E1404" s="13" t="n"/>
    </row>
    <row r="1405">
      <c r="E1405" s="13" t="n"/>
    </row>
    <row r="1406">
      <c r="E1406" s="13" t="n"/>
    </row>
    <row r="1407">
      <c r="E1407" s="13" t="n"/>
    </row>
    <row r="1408">
      <c r="E1408" s="13" t="n"/>
    </row>
    <row r="1409">
      <c r="E1409" s="13" t="n"/>
    </row>
    <row r="1410">
      <c r="E1410" s="13" t="n"/>
    </row>
    <row r="1411">
      <c r="E1411" s="13" t="n"/>
    </row>
    <row r="1412">
      <c r="E1412" s="13" t="n"/>
    </row>
    <row r="1413">
      <c r="E1413" s="13" t="n"/>
    </row>
    <row r="1414">
      <c r="E1414" s="13" t="n"/>
    </row>
    <row r="1415">
      <c r="E1415" s="13" t="n"/>
    </row>
    <row r="1416">
      <c r="E1416" s="13" t="n"/>
    </row>
    <row r="1417">
      <c r="E1417" s="13" t="n"/>
    </row>
    <row r="1418">
      <c r="E1418" s="13" t="n"/>
    </row>
    <row r="1419">
      <c r="E1419" s="13" t="n"/>
    </row>
    <row r="1420">
      <c r="E1420" s="13" t="n"/>
    </row>
    <row r="1421">
      <c r="E1421" s="13" t="n"/>
    </row>
    <row r="1422">
      <c r="E1422" s="13" t="n"/>
    </row>
    <row r="1423">
      <c r="E1423" s="13" t="n"/>
    </row>
    <row r="1424">
      <c r="E1424" s="13" t="n"/>
    </row>
    <row r="1425">
      <c r="E1425" s="13" t="n"/>
    </row>
    <row r="1426">
      <c r="E1426" s="13" t="n"/>
    </row>
    <row r="1427">
      <c r="E1427" s="13" t="n"/>
    </row>
    <row r="1428">
      <c r="E1428" s="13" t="n"/>
    </row>
    <row r="1429">
      <c r="E1429" s="13" t="n"/>
    </row>
    <row r="1430">
      <c r="E1430" s="13" t="n"/>
    </row>
    <row r="1431">
      <c r="E1431" s="13" t="n"/>
    </row>
    <row r="1432">
      <c r="E1432" s="13" t="n"/>
    </row>
    <row r="1433">
      <c r="E1433" s="13" t="n"/>
    </row>
    <row r="1434">
      <c r="E1434" s="13" t="n"/>
    </row>
    <row r="1435">
      <c r="E1435" s="13" t="n"/>
    </row>
    <row r="1436">
      <c r="E1436" s="13" t="n"/>
    </row>
    <row r="1437">
      <c r="E1437" s="13" t="n"/>
    </row>
    <row r="1438">
      <c r="E1438" s="13" t="n"/>
    </row>
    <row r="1439">
      <c r="E1439" s="13" t="n"/>
    </row>
    <row r="1440">
      <c r="E1440" s="13" t="n"/>
    </row>
    <row r="1441">
      <c r="E1441" s="13" t="n"/>
    </row>
    <row r="1442">
      <c r="E1442" s="13" t="n"/>
    </row>
    <row r="1443">
      <c r="E1443" s="13" t="n"/>
    </row>
    <row r="1444">
      <c r="E1444" s="13" t="n"/>
    </row>
    <row r="1445">
      <c r="E1445" s="13" t="n"/>
    </row>
    <row r="1446">
      <c r="E1446" s="13" t="n"/>
    </row>
    <row r="1447">
      <c r="E1447" s="13" t="n"/>
    </row>
    <row r="1448">
      <c r="E1448" s="13" t="n"/>
    </row>
    <row r="1449">
      <c r="E1449" s="13" t="n"/>
    </row>
    <row r="1450">
      <c r="E1450" s="13" t="n"/>
    </row>
    <row r="1451">
      <c r="E1451" s="13" t="n"/>
    </row>
    <row r="1452">
      <c r="E1452" s="13" t="n"/>
    </row>
    <row r="1453">
      <c r="E1453" s="13" t="n"/>
    </row>
    <row r="1454">
      <c r="E1454" s="13" t="n"/>
    </row>
    <row r="1455">
      <c r="E1455" s="13" t="n"/>
    </row>
    <row r="1456">
      <c r="E1456" s="13" t="n"/>
    </row>
    <row r="1457">
      <c r="E1457" s="13" t="n"/>
    </row>
    <row r="1458">
      <c r="E1458" s="13" t="n"/>
    </row>
    <row r="1459">
      <c r="E1459" s="13" t="n"/>
    </row>
    <row r="1460">
      <c r="E1460" s="13" t="n"/>
    </row>
    <row r="1461">
      <c r="E1461" s="13" t="n"/>
    </row>
    <row r="1462">
      <c r="E1462" s="13" t="n"/>
    </row>
    <row r="1463">
      <c r="E1463" s="13" t="n"/>
    </row>
    <row r="1464">
      <c r="E1464" s="13" t="n"/>
    </row>
    <row r="1465">
      <c r="E1465" s="13" t="n"/>
    </row>
    <row r="1466">
      <c r="E1466" s="13" t="n"/>
    </row>
    <row r="1467">
      <c r="E1467" s="13" t="n"/>
    </row>
    <row r="1468">
      <c r="E1468" s="13" t="n"/>
    </row>
    <row r="1469">
      <c r="E1469" s="13" t="n"/>
    </row>
    <row r="1470">
      <c r="E1470" s="13" t="n"/>
    </row>
    <row r="1471">
      <c r="E1471" s="13" t="n"/>
    </row>
    <row r="1472">
      <c r="E1472" s="13" t="n"/>
    </row>
    <row r="1473">
      <c r="E1473" s="13" t="n"/>
    </row>
    <row r="1474">
      <c r="E1474" s="13" t="n"/>
    </row>
    <row r="1475">
      <c r="E1475" s="13" t="n"/>
    </row>
    <row r="1476">
      <c r="E1476" s="13" t="n"/>
    </row>
    <row r="1477">
      <c r="E1477" s="13" t="n"/>
    </row>
    <row r="1478">
      <c r="E1478" s="13" t="n"/>
    </row>
    <row r="1479">
      <c r="E1479" s="13" t="n"/>
    </row>
    <row r="1480">
      <c r="E1480" s="13" t="n"/>
    </row>
    <row r="1481">
      <c r="E1481" s="13" t="n"/>
    </row>
    <row r="1482">
      <c r="E1482" s="13" t="n"/>
    </row>
    <row r="1483">
      <c r="E1483" s="13" t="n"/>
    </row>
    <row r="1484">
      <c r="E1484" s="13" t="n"/>
    </row>
    <row r="1485">
      <c r="E1485" s="13" t="n"/>
    </row>
    <row r="1486">
      <c r="E1486" s="13" t="n"/>
    </row>
    <row r="1487">
      <c r="E1487" s="13" t="n"/>
    </row>
    <row r="1488">
      <c r="E1488" s="13" t="n"/>
    </row>
    <row r="1489">
      <c r="E1489" s="13" t="n"/>
    </row>
    <row r="1490">
      <c r="E1490" s="13" t="n"/>
    </row>
    <row r="1491">
      <c r="E1491" s="13" t="n"/>
    </row>
    <row r="1492">
      <c r="E1492" s="13" t="n"/>
    </row>
    <row r="1493">
      <c r="E1493" s="13" t="n"/>
    </row>
    <row r="1494">
      <c r="E1494" s="13" t="n"/>
    </row>
    <row r="1495">
      <c r="E1495" s="13" t="n"/>
    </row>
    <row r="1496">
      <c r="E1496" s="13" t="n"/>
    </row>
    <row r="1497">
      <c r="E1497" s="13" t="n"/>
    </row>
    <row r="1498">
      <c r="E1498" s="13" t="n"/>
    </row>
    <row r="1499">
      <c r="E1499" s="13" t="n"/>
    </row>
    <row r="1500">
      <c r="E1500" s="13" t="n"/>
    </row>
    <row r="1501">
      <c r="E1501" s="13" t="n"/>
    </row>
    <row r="1502">
      <c r="E1502" s="13" t="n"/>
    </row>
    <row r="1503">
      <c r="E1503" s="13" t="n"/>
    </row>
    <row r="1504">
      <c r="E1504" s="13" t="n"/>
    </row>
    <row r="1505">
      <c r="E1505" s="13" t="n"/>
    </row>
    <row r="1506">
      <c r="E1506" s="13" t="n"/>
    </row>
    <row r="1507">
      <c r="E1507" s="13" t="n"/>
    </row>
    <row r="1508">
      <c r="E1508" s="13" t="n"/>
    </row>
    <row r="1509">
      <c r="E1509" s="13" t="n"/>
    </row>
    <row r="1510">
      <c r="E1510" s="13" t="n"/>
    </row>
    <row r="1511">
      <c r="E1511" s="13" t="n"/>
    </row>
    <row r="1512">
      <c r="E1512" s="13" t="n"/>
    </row>
    <row r="1513">
      <c r="E1513" s="13" t="n"/>
    </row>
    <row r="1514">
      <c r="E1514" s="13" t="n"/>
    </row>
    <row r="1515">
      <c r="E1515" s="13" t="n"/>
    </row>
    <row r="1516">
      <c r="E1516" s="13" t="n"/>
    </row>
    <row r="1517">
      <c r="E1517" s="13" t="n"/>
    </row>
    <row r="1518">
      <c r="E1518" s="13" t="n"/>
    </row>
    <row r="1519">
      <c r="E1519" s="13" t="n"/>
    </row>
    <row r="1520">
      <c r="E1520" s="13" t="n"/>
    </row>
    <row r="1521">
      <c r="E1521" s="13" t="n"/>
    </row>
    <row r="1522">
      <c r="E1522" s="13" t="n"/>
    </row>
    <row r="1523">
      <c r="E1523" s="13" t="n"/>
    </row>
    <row r="1524">
      <c r="E1524" s="13" t="n"/>
    </row>
    <row r="1525">
      <c r="E1525" s="13" t="n"/>
    </row>
    <row r="1526">
      <c r="E1526" s="13" t="n"/>
    </row>
    <row r="1527">
      <c r="E1527" s="13" t="n"/>
    </row>
    <row r="1528">
      <c r="E1528" s="13" t="n"/>
    </row>
    <row r="1529">
      <c r="E1529" s="13" t="n"/>
    </row>
    <row r="1530">
      <c r="E1530" s="13" t="n"/>
    </row>
    <row r="1531">
      <c r="E1531" s="13" t="n"/>
    </row>
    <row r="1532">
      <c r="E1532" s="13" t="n"/>
    </row>
    <row r="1533">
      <c r="E1533" s="13" t="n"/>
    </row>
    <row r="1534">
      <c r="E1534" s="13" t="n"/>
    </row>
    <row r="1535">
      <c r="E1535" s="13" t="n"/>
    </row>
    <row r="1536">
      <c r="E1536" s="13" t="n"/>
    </row>
    <row r="1537">
      <c r="E1537" s="13" t="n"/>
    </row>
    <row r="1538">
      <c r="E1538" s="13" t="n"/>
    </row>
    <row r="1539">
      <c r="E1539" s="13" t="n"/>
    </row>
    <row r="1540">
      <c r="E1540" s="13" t="n"/>
    </row>
    <row r="1541">
      <c r="E1541" s="13" t="n"/>
    </row>
    <row r="1542">
      <c r="E1542" s="13" t="n"/>
    </row>
    <row r="1543">
      <c r="E1543" s="13" t="n"/>
    </row>
    <row r="1544">
      <c r="E1544" s="13" t="n"/>
    </row>
    <row r="1545">
      <c r="E1545" s="13" t="n"/>
    </row>
    <row r="1546">
      <c r="E1546" s="13" t="n"/>
    </row>
    <row r="1547">
      <c r="E1547" s="13" t="n"/>
    </row>
    <row r="1548">
      <c r="E1548" s="13" t="n"/>
    </row>
    <row r="1549">
      <c r="E1549" s="13" t="n"/>
    </row>
    <row r="1550">
      <c r="E1550" s="13" t="n"/>
    </row>
    <row r="1551">
      <c r="E1551" s="13" t="n"/>
    </row>
    <row r="1552">
      <c r="E1552" s="13" t="n"/>
    </row>
    <row r="1553">
      <c r="E1553" s="13" t="n"/>
    </row>
    <row r="1554">
      <c r="E1554" s="13" t="n"/>
    </row>
    <row r="1555">
      <c r="E1555" s="13" t="n"/>
    </row>
    <row r="1556">
      <c r="E1556" s="13" t="n"/>
    </row>
    <row r="1557">
      <c r="E1557" s="13" t="n"/>
    </row>
    <row r="1558">
      <c r="E1558" s="13" t="n"/>
    </row>
    <row r="1559">
      <c r="E1559" s="13" t="n"/>
    </row>
    <row r="1560">
      <c r="E1560" s="13" t="n"/>
    </row>
    <row r="1561">
      <c r="E1561" s="13" t="n"/>
    </row>
    <row r="1562">
      <c r="E1562" s="13" t="n"/>
    </row>
    <row r="1563">
      <c r="E1563" s="13" t="n"/>
    </row>
    <row r="1564">
      <c r="E1564" s="13" t="n"/>
    </row>
    <row r="1565">
      <c r="E1565" s="13" t="n"/>
    </row>
    <row r="1566">
      <c r="E1566" s="13" t="n"/>
    </row>
    <row r="1567">
      <c r="E1567" s="13" t="n"/>
    </row>
    <row r="1568">
      <c r="E1568" s="13" t="n"/>
    </row>
    <row r="1569">
      <c r="E1569" s="13" t="n"/>
    </row>
    <row r="1570">
      <c r="E1570" s="13" t="n"/>
    </row>
    <row r="1571">
      <c r="E1571" s="13" t="n"/>
    </row>
    <row r="1572">
      <c r="E1572" s="13" t="n"/>
    </row>
    <row r="1573">
      <c r="E1573" s="13" t="n"/>
    </row>
    <row r="1574">
      <c r="E1574" s="13" t="n"/>
    </row>
    <row r="1575">
      <c r="E1575" s="13" t="n"/>
    </row>
    <row r="1576">
      <c r="E1576" s="13" t="n"/>
    </row>
    <row r="1577">
      <c r="E1577" s="13" t="n"/>
    </row>
    <row r="1578">
      <c r="E1578" s="13" t="n"/>
    </row>
    <row r="1579">
      <c r="E1579" s="13" t="n"/>
    </row>
    <row r="1580">
      <c r="E1580" s="13" t="n"/>
    </row>
    <row r="1581">
      <c r="E1581" s="13" t="n"/>
    </row>
    <row r="1582">
      <c r="E1582" s="13" t="n"/>
    </row>
    <row r="1583">
      <c r="E1583" s="13" t="n"/>
    </row>
    <row r="1584">
      <c r="E1584" s="13" t="n"/>
    </row>
    <row r="1585">
      <c r="E1585" s="13" t="n"/>
    </row>
    <row r="1586">
      <c r="E1586" s="13" t="n"/>
    </row>
    <row r="1587">
      <c r="E1587" s="13" t="n"/>
    </row>
    <row r="1588">
      <c r="E1588" s="13" t="n"/>
    </row>
    <row r="1589">
      <c r="E1589" s="13" t="n"/>
    </row>
    <row r="1590">
      <c r="E1590" s="13" t="n"/>
    </row>
    <row r="1591">
      <c r="E1591" s="13" t="n"/>
    </row>
    <row r="1592">
      <c r="E1592" s="13" t="n"/>
    </row>
    <row r="1593">
      <c r="E1593" s="13" t="n"/>
    </row>
    <row r="1594">
      <c r="E1594" s="13" t="n"/>
    </row>
    <row r="1595">
      <c r="E1595" s="13" t="n"/>
    </row>
    <row r="1596">
      <c r="E1596" s="13" t="n"/>
    </row>
    <row r="1597">
      <c r="E1597" s="13" t="n"/>
    </row>
    <row r="1598">
      <c r="E1598" s="13" t="n"/>
    </row>
    <row r="1599">
      <c r="E1599" s="13" t="n"/>
    </row>
    <row r="1600">
      <c r="E1600" s="13" t="n"/>
    </row>
    <row r="1601">
      <c r="E1601" s="13" t="n"/>
    </row>
    <row r="1602">
      <c r="E1602" s="13" t="n"/>
    </row>
    <row r="1603">
      <c r="E1603" s="13" t="n"/>
    </row>
    <row r="1604">
      <c r="E1604" s="13" t="n"/>
    </row>
    <row r="1605">
      <c r="E1605" s="13" t="n"/>
    </row>
    <row r="1606">
      <c r="E1606" s="13" t="n"/>
    </row>
    <row r="1607">
      <c r="E1607" s="13" t="n"/>
    </row>
    <row r="1608">
      <c r="E1608" s="13" t="n"/>
    </row>
    <row r="1609">
      <c r="E1609" s="13" t="n"/>
    </row>
    <row r="1610">
      <c r="E1610" s="13" t="n"/>
    </row>
    <row r="1611">
      <c r="E1611" s="13" t="n"/>
    </row>
    <row r="1612">
      <c r="E1612" s="13" t="n"/>
    </row>
    <row r="1613">
      <c r="E1613" s="13" t="n"/>
    </row>
    <row r="1614">
      <c r="E1614" s="13" t="n"/>
    </row>
    <row r="1615">
      <c r="E1615" s="13" t="n"/>
    </row>
    <row r="1616">
      <c r="E1616" s="13" t="n"/>
    </row>
    <row r="1617">
      <c r="E1617" s="13" t="n"/>
    </row>
    <row r="1618">
      <c r="E1618" s="13" t="n"/>
    </row>
    <row r="1619">
      <c r="E1619" s="13" t="n"/>
    </row>
    <row r="1620">
      <c r="E1620" s="13" t="n"/>
    </row>
    <row r="1621">
      <c r="E1621" s="13" t="n"/>
    </row>
    <row r="1622">
      <c r="E1622" s="13" t="n"/>
    </row>
    <row r="1623">
      <c r="E1623" s="13" t="n"/>
    </row>
    <row r="1624">
      <c r="E1624" s="13" t="n"/>
    </row>
    <row r="1625">
      <c r="E1625" s="13" t="n"/>
    </row>
    <row r="1626">
      <c r="E1626" s="13" t="n"/>
    </row>
    <row r="1627">
      <c r="E1627" s="13" t="n"/>
    </row>
    <row r="1628">
      <c r="E1628" s="13" t="n"/>
    </row>
    <row r="1629">
      <c r="E1629" s="13" t="n"/>
    </row>
    <row r="1630">
      <c r="E1630" s="13" t="n"/>
    </row>
    <row r="1631">
      <c r="E1631" s="13" t="n"/>
    </row>
    <row r="1632">
      <c r="E1632" s="13" t="n"/>
    </row>
    <row r="1633">
      <c r="E1633" s="13" t="n"/>
    </row>
    <row r="1634">
      <c r="E1634" s="13" t="n"/>
    </row>
    <row r="1635">
      <c r="E1635" s="13" t="n"/>
    </row>
    <row r="1636">
      <c r="E1636" s="13" t="n"/>
    </row>
    <row r="1637">
      <c r="E1637" s="13" t="n"/>
    </row>
    <row r="1638">
      <c r="E1638" s="13" t="n"/>
    </row>
    <row r="1639">
      <c r="E1639" s="13" t="n"/>
    </row>
    <row r="1640">
      <c r="E1640" s="13" t="n"/>
    </row>
    <row r="1641">
      <c r="E1641" s="13" t="n"/>
    </row>
    <row r="1642">
      <c r="E1642" s="13" t="n"/>
    </row>
    <row r="1643">
      <c r="E1643" s="13" t="n"/>
    </row>
    <row r="1644">
      <c r="E1644" s="13" t="n"/>
    </row>
    <row r="1645">
      <c r="E1645" s="13" t="n"/>
    </row>
    <row r="1646">
      <c r="E1646" s="13" t="n"/>
    </row>
    <row r="1647">
      <c r="E1647" s="13" t="n"/>
    </row>
    <row r="1648">
      <c r="E1648" s="13" t="n"/>
    </row>
    <row r="1649">
      <c r="E1649" s="13" t="n"/>
    </row>
    <row r="1650">
      <c r="E1650" s="13" t="n"/>
    </row>
    <row r="1651">
      <c r="E1651" s="13" t="n"/>
    </row>
    <row r="1652">
      <c r="E1652" s="13" t="n"/>
    </row>
    <row r="1653">
      <c r="E1653" s="13" t="n"/>
    </row>
    <row r="1654">
      <c r="E1654" s="13" t="n"/>
    </row>
    <row r="1655">
      <c r="E1655" s="13" t="n"/>
    </row>
    <row r="1656">
      <c r="E1656" s="13" t="n"/>
    </row>
    <row r="1657">
      <c r="E1657" s="13" t="n"/>
    </row>
    <row r="1658">
      <c r="E1658" s="13" t="n"/>
    </row>
    <row r="1659">
      <c r="E1659" s="13" t="n"/>
    </row>
    <row r="1660">
      <c r="E1660" s="13" t="n"/>
    </row>
    <row r="1661">
      <c r="E1661" s="13" t="n"/>
    </row>
    <row r="1662">
      <c r="E1662" s="13" t="n"/>
    </row>
    <row r="1663">
      <c r="E1663" s="13" t="n"/>
    </row>
    <row r="1664">
      <c r="E1664" s="13" t="n"/>
    </row>
    <row r="1665">
      <c r="E1665" s="13" t="n"/>
    </row>
    <row r="1666">
      <c r="E1666" s="13" t="n"/>
    </row>
    <row r="1667">
      <c r="E1667" s="13" t="n"/>
    </row>
    <row r="1668">
      <c r="E1668" s="13" t="n"/>
    </row>
    <row r="1669">
      <c r="E1669" s="13" t="n"/>
    </row>
    <row r="1670">
      <c r="E1670" s="13" t="n"/>
    </row>
    <row r="1671">
      <c r="E1671" s="13" t="n"/>
    </row>
    <row r="1672">
      <c r="E1672" s="13" t="n"/>
    </row>
    <row r="1673">
      <c r="E1673" s="13" t="n"/>
    </row>
    <row r="1674">
      <c r="E1674" s="13" t="n"/>
    </row>
    <row r="1675">
      <c r="E1675" s="13" t="n"/>
    </row>
    <row r="1676">
      <c r="E1676" s="13" t="n"/>
    </row>
    <row r="1677">
      <c r="E1677" s="13" t="n"/>
    </row>
    <row r="1678">
      <c r="E1678" s="13" t="n"/>
    </row>
    <row r="1679">
      <c r="E1679" s="13" t="n"/>
    </row>
    <row r="1680">
      <c r="E1680" s="13" t="n"/>
    </row>
    <row r="1681">
      <c r="E1681" s="13" t="n"/>
    </row>
    <row r="1682">
      <c r="E1682" s="13" t="n"/>
    </row>
    <row r="1683">
      <c r="E1683" s="13" t="n"/>
    </row>
    <row r="1684">
      <c r="E1684" s="13" t="n"/>
    </row>
    <row r="1685">
      <c r="E1685" s="13" t="n"/>
    </row>
    <row r="1686">
      <c r="E1686" s="13" t="n"/>
    </row>
    <row r="1687">
      <c r="E1687" s="13" t="n"/>
    </row>
    <row r="1688">
      <c r="E1688" s="13" t="n"/>
    </row>
    <row r="1689">
      <c r="E1689" s="13" t="n"/>
    </row>
    <row r="1690">
      <c r="E1690" s="13" t="n"/>
    </row>
    <row r="1691">
      <c r="E1691" s="13" t="n"/>
    </row>
    <row r="1692">
      <c r="E1692" s="13" t="n"/>
    </row>
    <row r="1693">
      <c r="E1693" s="13" t="n"/>
    </row>
    <row r="1694">
      <c r="E1694" s="13" t="n"/>
    </row>
    <row r="1695">
      <c r="E1695" s="13" t="n"/>
    </row>
    <row r="1696">
      <c r="E1696" s="13" t="n"/>
    </row>
    <row r="1697">
      <c r="E1697" s="13" t="n"/>
    </row>
    <row r="1698">
      <c r="E1698" s="13" t="n"/>
    </row>
    <row r="1699">
      <c r="E1699" s="13" t="n"/>
    </row>
    <row r="1700">
      <c r="E1700" s="13" t="n"/>
    </row>
    <row r="1701">
      <c r="E1701" s="13" t="n"/>
    </row>
    <row r="1702">
      <c r="E1702" s="13" t="n"/>
    </row>
    <row r="1703">
      <c r="E1703" s="13" t="n"/>
    </row>
    <row r="1704">
      <c r="E1704" s="13" t="n"/>
    </row>
    <row r="1705">
      <c r="E1705" s="13" t="n"/>
    </row>
    <row r="1706">
      <c r="E1706" s="13" t="n"/>
    </row>
    <row r="1707">
      <c r="E1707" s="13" t="n"/>
    </row>
    <row r="1708">
      <c r="E1708" s="13" t="n"/>
    </row>
    <row r="1709">
      <c r="E1709" s="13" t="n"/>
    </row>
    <row r="1710">
      <c r="E1710" s="13" t="n"/>
    </row>
    <row r="1711">
      <c r="E1711" s="13" t="n"/>
    </row>
    <row r="1712">
      <c r="E1712" s="13" t="n"/>
    </row>
    <row r="1713">
      <c r="E1713" s="13" t="n"/>
    </row>
    <row r="1714">
      <c r="E1714" s="13" t="n"/>
    </row>
    <row r="1715">
      <c r="E1715" s="13" t="n"/>
    </row>
    <row r="1716">
      <c r="E1716" s="13" t="n"/>
    </row>
    <row r="1717">
      <c r="E1717" s="13" t="n"/>
    </row>
    <row r="1718">
      <c r="E1718" s="13" t="n"/>
    </row>
    <row r="1719">
      <c r="E1719" s="13" t="n"/>
    </row>
    <row r="1720">
      <c r="E1720" s="13" t="n"/>
    </row>
    <row r="1721">
      <c r="E1721" s="13" t="n"/>
    </row>
    <row r="1722">
      <c r="E1722" s="13" t="n"/>
    </row>
    <row r="1723">
      <c r="E1723" s="13" t="n"/>
    </row>
    <row r="1724">
      <c r="E1724" s="13" t="n"/>
    </row>
    <row r="1725">
      <c r="E1725" s="13" t="n"/>
    </row>
    <row r="1726">
      <c r="E1726" s="13" t="n"/>
    </row>
    <row r="1727">
      <c r="E1727" s="13" t="n"/>
    </row>
    <row r="1728">
      <c r="E1728" s="13" t="n"/>
    </row>
    <row r="1729">
      <c r="E1729" s="13" t="n"/>
    </row>
    <row r="1730">
      <c r="E1730" s="13" t="n"/>
    </row>
    <row r="1731">
      <c r="E1731" s="13" t="n"/>
    </row>
    <row r="1732">
      <c r="E1732" s="13" t="n"/>
    </row>
    <row r="1733">
      <c r="E1733" s="13" t="n"/>
    </row>
    <row r="1734">
      <c r="E1734" s="13" t="n"/>
    </row>
    <row r="1735">
      <c r="E1735" s="13" t="n"/>
    </row>
    <row r="1736">
      <c r="E1736" s="13" t="n"/>
    </row>
    <row r="1737">
      <c r="E1737" s="13" t="n"/>
    </row>
    <row r="1738">
      <c r="E1738" s="13" t="n"/>
    </row>
    <row r="1739">
      <c r="E1739" s="13" t="n"/>
    </row>
    <row r="1740">
      <c r="E1740" s="13" t="n"/>
    </row>
    <row r="1741">
      <c r="E1741" s="13" t="n"/>
    </row>
    <row r="1742">
      <c r="E1742" s="13" t="n"/>
    </row>
    <row r="1743">
      <c r="E1743" s="13" t="n"/>
    </row>
    <row r="1744">
      <c r="E1744" s="13" t="n"/>
    </row>
    <row r="1745">
      <c r="E1745" s="13" t="n"/>
    </row>
    <row r="1746">
      <c r="E1746" s="13" t="n"/>
    </row>
    <row r="1747">
      <c r="E1747" s="13" t="n"/>
    </row>
    <row r="1748">
      <c r="E1748" s="13" t="n"/>
    </row>
    <row r="1749">
      <c r="E1749" s="13" t="n"/>
    </row>
    <row r="1750">
      <c r="E1750" s="13" t="n"/>
    </row>
    <row r="1751">
      <c r="E1751" s="13" t="n"/>
    </row>
    <row r="1752">
      <c r="E1752" s="13" t="n"/>
    </row>
    <row r="1753">
      <c r="E1753" s="13" t="n"/>
    </row>
    <row r="1754">
      <c r="E1754" s="13" t="n"/>
    </row>
    <row r="1755">
      <c r="E1755" s="13" t="n"/>
    </row>
    <row r="1756">
      <c r="E1756" s="13" t="n"/>
    </row>
    <row r="1757">
      <c r="E1757" s="13" t="n"/>
    </row>
    <row r="1758">
      <c r="E1758" s="13" t="n"/>
    </row>
    <row r="1759">
      <c r="E1759" s="13" t="n"/>
    </row>
    <row r="1760">
      <c r="E1760" s="13" t="n"/>
    </row>
    <row r="1761">
      <c r="E1761" s="13" t="n"/>
    </row>
    <row r="1762">
      <c r="E1762" s="13" t="n"/>
    </row>
    <row r="1763">
      <c r="E1763" s="13" t="n"/>
    </row>
    <row r="1764">
      <c r="E1764" s="13" t="n"/>
    </row>
    <row r="1765">
      <c r="E1765" s="13" t="n"/>
    </row>
    <row r="1766">
      <c r="E1766" s="13" t="n"/>
    </row>
    <row r="1767">
      <c r="E1767" s="13" t="n"/>
    </row>
    <row r="1768">
      <c r="E1768" s="13" t="n"/>
    </row>
    <row r="1769">
      <c r="E1769" s="13" t="n"/>
    </row>
    <row r="1770">
      <c r="E1770" s="13" t="n"/>
    </row>
    <row r="1771">
      <c r="E1771" s="13" t="n"/>
    </row>
    <row r="1772">
      <c r="E1772" s="13" t="n"/>
    </row>
    <row r="1773">
      <c r="E1773" s="13" t="n"/>
    </row>
    <row r="1774">
      <c r="E1774" s="13" t="n"/>
    </row>
    <row r="1775">
      <c r="E1775" s="13" t="n"/>
    </row>
    <row r="1776">
      <c r="E1776" s="13" t="n"/>
    </row>
    <row r="1777">
      <c r="E1777" s="13" t="n"/>
    </row>
    <row r="1778">
      <c r="E1778" s="13" t="n"/>
    </row>
    <row r="1779">
      <c r="E1779" s="13" t="n"/>
    </row>
    <row r="1780">
      <c r="E1780" s="13" t="n"/>
    </row>
    <row r="1781">
      <c r="E1781" s="13" t="n"/>
    </row>
    <row r="1782">
      <c r="E1782" s="13" t="n"/>
    </row>
    <row r="1783">
      <c r="E1783" s="13" t="n"/>
    </row>
    <row r="1784">
      <c r="E1784" s="13" t="n"/>
    </row>
    <row r="1785">
      <c r="E1785" s="13" t="n"/>
    </row>
    <row r="1786">
      <c r="E1786" s="13" t="n"/>
    </row>
    <row r="1787">
      <c r="E1787" s="13" t="n"/>
    </row>
    <row r="1788">
      <c r="E1788" s="13" t="n"/>
    </row>
    <row r="1789">
      <c r="E1789" s="13" t="n"/>
    </row>
    <row r="1790">
      <c r="E1790" s="13" t="n"/>
    </row>
    <row r="1791">
      <c r="E1791" s="13" t="n"/>
    </row>
    <row r="1792">
      <c r="E1792" s="13" t="n"/>
    </row>
    <row r="1793">
      <c r="E1793" s="13" t="n"/>
    </row>
    <row r="1794">
      <c r="E1794" s="13" t="n"/>
    </row>
    <row r="1795">
      <c r="E1795" s="13" t="n"/>
    </row>
    <row r="1796">
      <c r="E1796" s="13" t="n"/>
    </row>
    <row r="1797">
      <c r="E1797" s="13" t="n"/>
    </row>
    <row r="1798">
      <c r="E1798" s="13" t="n"/>
    </row>
    <row r="1799">
      <c r="E1799" s="13" t="n"/>
    </row>
    <row r="1800">
      <c r="E1800" s="13" t="n"/>
    </row>
    <row r="1801">
      <c r="E1801" s="13" t="n"/>
    </row>
    <row r="1802">
      <c r="E1802" s="13" t="n"/>
    </row>
    <row r="1803">
      <c r="E1803" s="13" t="n"/>
    </row>
    <row r="1804">
      <c r="E1804" s="13" t="n"/>
    </row>
    <row r="1805">
      <c r="E1805" s="13" t="n"/>
    </row>
    <row r="1806">
      <c r="E1806" s="13" t="n"/>
    </row>
    <row r="1807">
      <c r="E1807" s="13" t="n"/>
    </row>
    <row r="1808">
      <c r="E1808" s="13" t="n"/>
    </row>
    <row r="1809">
      <c r="E1809" s="13" t="n"/>
    </row>
    <row r="1810">
      <c r="E1810" s="13" t="n"/>
    </row>
    <row r="1811">
      <c r="E1811" s="13" t="n"/>
    </row>
    <row r="1812">
      <c r="E1812" s="13" t="n"/>
    </row>
    <row r="1813">
      <c r="E1813" s="13" t="n"/>
    </row>
    <row r="1814">
      <c r="E1814" s="13" t="n"/>
    </row>
    <row r="1815">
      <c r="E1815" s="13" t="n"/>
    </row>
    <row r="1816">
      <c r="E1816" s="13" t="n"/>
    </row>
    <row r="1817">
      <c r="E1817" s="13" t="n"/>
    </row>
    <row r="1818">
      <c r="E1818" s="13" t="n"/>
    </row>
    <row r="1819">
      <c r="E1819" s="13" t="n"/>
    </row>
    <row r="1820">
      <c r="E1820" s="13" t="n"/>
    </row>
    <row r="1821">
      <c r="E1821" s="13" t="n"/>
    </row>
    <row r="1822">
      <c r="E1822" s="13" t="n"/>
    </row>
    <row r="1823">
      <c r="E1823" s="13" t="n"/>
    </row>
    <row r="1824">
      <c r="E1824" s="13" t="n"/>
    </row>
    <row r="1825">
      <c r="E1825" s="13" t="n"/>
    </row>
    <row r="1826">
      <c r="E1826" s="13" t="n"/>
    </row>
    <row r="1827">
      <c r="E1827" s="13" t="n"/>
    </row>
    <row r="1828">
      <c r="E1828" s="13" t="n"/>
    </row>
    <row r="1829">
      <c r="E1829" s="13" t="n"/>
    </row>
    <row r="1830">
      <c r="E1830" s="13" t="n"/>
    </row>
    <row r="1831">
      <c r="E1831" s="13" t="n"/>
    </row>
    <row r="1832">
      <c r="E1832" s="13" t="n"/>
    </row>
    <row r="1833">
      <c r="E1833" s="13" t="n"/>
    </row>
    <row r="1834">
      <c r="E1834" s="13" t="n"/>
    </row>
    <row r="1835">
      <c r="E1835" s="13" t="n"/>
    </row>
    <row r="1836">
      <c r="E1836" s="13" t="n"/>
    </row>
    <row r="1837">
      <c r="E1837" s="13" t="n"/>
    </row>
    <row r="1838">
      <c r="E1838" s="13" t="n"/>
    </row>
    <row r="1839">
      <c r="E1839" s="13" t="n"/>
    </row>
    <row r="1840">
      <c r="E1840" s="13" t="n"/>
    </row>
    <row r="1841">
      <c r="E1841" s="13" t="n"/>
    </row>
    <row r="1842">
      <c r="E1842" s="13" t="n"/>
    </row>
    <row r="1843">
      <c r="E1843" s="13" t="n"/>
    </row>
    <row r="1844">
      <c r="E1844" s="13" t="n"/>
    </row>
    <row r="1845">
      <c r="E1845" s="13" t="n"/>
    </row>
    <row r="1846">
      <c r="E1846" s="13" t="n"/>
    </row>
    <row r="1847">
      <c r="E1847" s="13" t="n"/>
    </row>
    <row r="1848">
      <c r="E1848" s="13" t="n"/>
    </row>
    <row r="1849">
      <c r="E1849" s="13" t="n"/>
    </row>
    <row r="1850">
      <c r="E1850" s="13" t="n"/>
    </row>
    <row r="1851">
      <c r="E1851" s="13" t="n"/>
    </row>
    <row r="1852">
      <c r="E1852" s="13" t="n"/>
    </row>
    <row r="1853">
      <c r="E1853" s="13" t="n"/>
    </row>
    <row r="1854">
      <c r="E1854" s="13" t="n"/>
    </row>
    <row r="1855">
      <c r="E1855" s="13" t="n"/>
    </row>
    <row r="1856">
      <c r="E1856" s="13" t="n"/>
    </row>
    <row r="1857">
      <c r="E1857" s="13" t="n"/>
    </row>
    <row r="1858">
      <c r="E1858" s="13" t="n"/>
    </row>
    <row r="1859">
      <c r="E1859" s="13" t="n"/>
    </row>
    <row r="1860">
      <c r="E1860" s="13" t="n"/>
    </row>
    <row r="1861">
      <c r="E1861" s="13" t="n"/>
    </row>
    <row r="1862">
      <c r="E1862" s="13" t="n"/>
    </row>
    <row r="1863">
      <c r="E1863" s="13" t="n"/>
    </row>
    <row r="1864">
      <c r="E1864" s="13" t="n"/>
    </row>
    <row r="1865">
      <c r="E1865" s="13" t="n"/>
    </row>
    <row r="1866">
      <c r="E1866" s="13" t="n"/>
    </row>
    <row r="1867">
      <c r="E1867" s="13" t="n"/>
    </row>
    <row r="1868">
      <c r="E1868" s="13" t="n"/>
    </row>
    <row r="1869">
      <c r="E1869" s="13" t="n"/>
    </row>
    <row r="1870">
      <c r="E1870" s="13" t="n"/>
    </row>
    <row r="1871">
      <c r="E1871" s="13" t="n"/>
    </row>
    <row r="1872">
      <c r="E1872" s="13" t="n"/>
    </row>
    <row r="1873">
      <c r="E1873" s="13" t="n"/>
    </row>
    <row r="1874">
      <c r="E1874" s="13" t="n"/>
    </row>
    <row r="1875">
      <c r="E1875" s="13" t="n"/>
    </row>
    <row r="1876">
      <c r="E1876" s="13" t="n"/>
    </row>
    <row r="1877">
      <c r="E1877" s="13" t="n"/>
    </row>
    <row r="1878">
      <c r="E1878" s="13" t="n"/>
    </row>
    <row r="1879">
      <c r="E1879" s="13" t="n"/>
    </row>
    <row r="1880">
      <c r="E1880" s="13" t="n"/>
    </row>
    <row r="1881">
      <c r="E1881" s="13" t="n"/>
    </row>
    <row r="1882">
      <c r="E1882" s="13" t="n"/>
    </row>
    <row r="1883">
      <c r="E1883" s="13" t="n"/>
    </row>
    <row r="1884">
      <c r="E1884" s="13" t="n"/>
    </row>
    <row r="1885">
      <c r="E1885" s="13" t="n"/>
    </row>
    <row r="1886">
      <c r="E1886" s="13" t="n"/>
    </row>
    <row r="1887">
      <c r="E1887" s="13" t="n"/>
    </row>
    <row r="1888">
      <c r="E1888" s="13" t="n"/>
    </row>
    <row r="1889">
      <c r="E1889" s="13" t="n"/>
    </row>
    <row r="1890">
      <c r="E1890" s="13" t="n"/>
    </row>
    <row r="1891">
      <c r="E1891" s="13" t="n"/>
    </row>
    <row r="1892">
      <c r="E1892" s="13" t="n"/>
    </row>
    <row r="1893">
      <c r="E1893" s="13" t="n"/>
    </row>
    <row r="1894">
      <c r="E1894" s="13" t="n"/>
    </row>
    <row r="1895">
      <c r="E1895" s="13" t="n"/>
    </row>
    <row r="1896">
      <c r="E1896" s="13" t="n"/>
    </row>
    <row r="1897">
      <c r="E1897" s="13" t="n"/>
    </row>
    <row r="1898">
      <c r="E1898" s="13" t="n"/>
    </row>
    <row r="1899">
      <c r="E1899" s="13" t="n"/>
    </row>
    <row r="1900">
      <c r="E1900" s="13" t="n"/>
    </row>
    <row r="1901">
      <c r="E1901" s="13" t="n"/>
    </row>
    <row r="1902">
      <c r="E1902" s="13" t="n"/>
    </row>
    <row r="1903">
      <c r="E1903" s="13" t="n"/>
    </row>
    <row r="1904">
      <c r="E1904" s="13" t="n"/>
    </row>
    <row r="1905">
      <c r="E1905" s="13" t="n"/>
    </row>
    <row r="1906">
      <c r="E1906" s="13" t="n"/>
    </row>
    <row r="1907">
      <c r="E1907" s="13" t="n"/>
    </row>
    <row r="1908">
      <c r="E1908" s="13" t="n"/>
    </row>
    <row r="1909">
      <c r="E1909" s="13" t="n"/>
    </row>
    <row r="1910">
      <c r="E1910" s="13" t="n"/>
    </row>
    <row r="1911">
      <c r="E1911" s="13" t="n"/>
    </row>
    <row r="1912">
      <c r="E1912" s="13" t="n"/>
    </row>
    <row r="1913">
      <c r="E1913" s="13" t="n"/>
    </row>
    <row r="1914">
      <c r="E1914" s="13" t="n"/>
    </row>
    <row r="1915">
      <c r="E1915" s="13" t="n"/>
    </row>
    <row r="1916">
      <c r="E1916" s="13" t="n"/>
    </row>
    <row r="1917">
      <c r="E1917" s="13" t="n"/>
    </row>
    <row r="1918">
      <c r="E1918" s="13" t="n"/>
    </row>
    <row r="1919">
      <c r="E1919" s="13" t="n"/>
    </row>
    <row r="1920">
      <c r="E1920" s="13" t="n"/>
    </row>
    <row r="1921">
      <c r="E1921" s="13" t="n"/>
    </row>
    <row r="1922">
      <c r="E1922" s="13" t="n"/>
    </row>
    <row r="1923">
      <c r="E1923" s="13" t="n"/>
    </row>
    <row r="1924">
      <c r="E1924" s="13" t="n"/>
    </row>
    <row r="1925">
      <c r="E1925" s="13" t="n"/>
    </row>
    <row r="1926">
      <c r="E1926" s="13" t="n"/>
    </row>
    <row r="1927">
      <c r="E1927" s="13" t="n"/>
    </row>
    <row r="1928">
      <c r="E1928" s="13" t="n"/>
    </row>
    <row r="1929">
      <c r="E1929" s="13" t="n"/>
    </row>
    <row r="1930">
      <c r="E1930" s="13" t="n"/>
    </row>
    <row r="1931">
      <c r="E1931" s="13" t="n"/>
    </row>
    <row r="1932">
      <c r="E1932" s="13" t="n"/>
    </row>
    <row r="1933">
      <c r="E1933" s="13" t="n"/>
    </row>
    <row r="1934">
      <c r="E1934" s="13" t="n"/>
    </row>
    <row r="1935">
      <c r="E1935" s="13" t="n"/>
    </row>
    <row r="1936">
      <c r="E1936" s="13" t="n"/>
    </row>
    <row r="1937">
      <c r="E1937" s="13" t="n"/>
    </row>
    <row r="1938">
      <c r="E1938" s="13" t="n"/>
    </row>
    <row r="1939">
      <c r="E1939" s="13" t="n"/>
    </row>
    <row r="1940">
      <c r="E1940" s="13" t="n"/>
    </row>
    <row r="1941">
      <c r="E1941" s="13" t="n"/>
    </row>
    <row r="1942">
      <c r="E1942" s="13" t="n"/>
    </row>
    <row r="1943">
      <c r="E1943" s="13" t="n"/>
    </row>
    <row r="1944">
      <c r="E1944" s="13" t="n"/>
    </row>
    <row r="1945">
      <c r="E1945" s="13" t="n"/>
    </row>
    <row r="1946">
      <c r="E1946" s="13" t="n"/>
    </row>
    <row r="1947">
      <c r="E1947" s="13" t="n"/>
    </row>
    <row r="1948">
      <c r="E1948" s="13" t="n"/>
    </row>
    <row r="1949">
      <c r="E1949" s="13" t="n"/>
    </row>
    <row r="1950">
      <c r="E1950" s="13" t="n"/>
    </row>
    <row r="1951">
      <c r="E1951" s="13" t="n"/>
    </row>
    <row r="1952">
      <c r="E1952" s="13" t="n"/>
    </row>
    <row r="1953">
      <c r="E1953" s="13" t="n"/>
    </row>
    <row r="1954">
      <c r="E1954" s="13" t="n"/>
    </row>
    <row r="1955">
      <c r="E1955" s="13" t="n"/>
    </row>
    <row r="1956">
      <c r="E1956" s="13" t="n"/>
    </row>
    <row r="1957">
      <c r="E1957" s="13" t="n"/>
    </row>
    <row r="1958">
      <c r="E1958" s="13" t="n"/>
    </row>
    <row r="1959">
      <c r="E1959" s="13" t="n"/>
    </row>
    <row r="1960">
      <c r="E1960" s="13" t="n"/>
    </row>
    <row r="1961">
      <c r="E1961" s="13" t="n"/>
    </row>
    <row r="1962">
      <c r="E1962" s="13" t="n"/>
    </row>
    <row r="1963">
      <c r="E1963" s="13" t="n"/>
    </row>
    <row r="1964">
      <c r="E1964" s="13" t="n"/>
    </row>
    <row r="1965">
      <c r="E1965" s="13" t="n"/>
    </row>
    <row r="1966">
      <c r="E1966" s="13" t="n"/>
    </row>
    <row r="1967">
      <c r="E1967" s="13" t="n"/>
    </row>
    <row r="1968">
      <c r="E1968" s="13" t="n"/>
    </row>
    <row r="1969">
      <c r="E1969" s="13" t="n"/>
    </row>
    <row r="1970">
      <c r="E1970" s="13" t="n"/>
    </row>
    <row r="1971">
      <c r="E1971" s="13" t="n"/>
    </row>
    <row r="1972">
      <c r="E1972" s="13" t="n"/>
    </row>
    <row r="1973">
      <c r="E1973" s="13" t="n"/>
    </row>
    <row r="1974">
      <c r="E1974" s="13" t="n"/>
    </row>
    <row r="1975">
      <c r="E1975" s="13" t="n"/>
    </row>
    <row r="1976">
      <c r="E1976" s="13" t="n"/>
    </row>
    <row r="1977">
      <c r="E1977" s="13" t="n"/>
    </row>
    <row r="1978">
      <c r="E1978" s="13" t="n"/>
    </row>
    <row r="1979">
      <c r="E1979" s="13" t="n"/>
    </row>
    <row r="1980">
      <c r="E1980" s="13" t="n"/>
    </row>
    <row r="1981">
      <c r="E1981" s="13" t="n"/>
    </row>
    <row r="1982">
      <c r="E1982" s="13" t="n"/>
    </row>
    <row r="1983">
      <c r="E1983" s="13" t="n"/>
    </row>
    <row r="1984">
      <c r="E1984" s="13" t="n"/>
    </row>
    <row r="1985">
      <c r="E1985" s="13" t="n"/>
    </row>
    <row r="1986">
      <c r="E1986" s="13" t="n"/>
    </row>
    <row r="1987">
      <c r="E1987" s="13" t="n"/>
    </row>
    <row r="1988">
      <c r="E1988" s="13" t="n"/>
    </row>
    <row r="1989">
      <c r="E1989" s="13" t="n"/>
    </row>
    <row r="1990">
      <c r="E1990" s="13" t="n"/>
    </row>
    <row r="1991">
      <c r="E1991" s="13" t="n"/>
    </row>
    <row r="1992">
      <c r="E1992" s="13" t="n"/>
    </row>
    <row r="1993">
      <c r="E1993" s="13" t="n"/>
    </row>
    <row r="1994">
      <c r="E1994" s="13" t="n"/>
    </row>
    <row r="1995">
      <c r="E1995" s="13" t="n"/>
    </row>
    <row r="1996">
      <c r="E1996" s="13" t="n"/>
    </row>
    <row r="1997">
      <c r="E1997" s="13" t="n"/>
    </row>
    <row r="1998">
      <c r="E1998" s="13" t="n"/>
    </row>
    <row r="1999">
      <c r="E1999" s="13" t="n"/>
    </row>
    <row r="2000">
      <c r="E2000" s="13" t="n"/>
    </row>
    <row r="2001">
      <c r="E2001" s="13" t="n"/>
    </row>
    <row r="2002">
      <c r="E2002" s="13" t="n"/>
    </row>
    <row r="2003">
      <c r="E2003" s="13" t="n"/>
    </row>
    <row r="2004">
      <c r="E2004" s="13" t="n"/>
    </row>
    <row r="2005">
      <c r="E2005" s="13" t="n"/>
    </row>
    <row r="2006">
      <c r="E2006" s="13" t="n"/>
    </row>
    <row r="2007">
      <c r="E2007" s="13" t="n"/>
    </row>
    <row r="2008">
      <c r="E2008" s="13" t="n"/>
    </row>
    <row r="2009">
      <c r="E2009" s="13" t="n"/>
    </row>
    <row r="2010">
      <c r="E2010" s="13" t="n"/>
    </row>
    <row r="2011">
      <c r="E2011" s="13" t="n"/>
    </row>
    <row r="2012">
      <c r="E2012" s="13" t="n"/>
    </row>
    <row r="2013">
      <c r="E2013" s="13" t="n"/>
    </row>
    <row r="2014">
      <c r="E2014" s="13" t="n"/>
    </row>
    <row r="2015">
      <c r="E2015" s="13" t="n"/>
    </row>
    <row r="2016">
      <c r="E2016" s="13" t="n"/>
    </row>
    <row r="2017">
      <c r="E2017" s="13" t="n"/>
    </row>
    <row r="2018">
      <c r="E2018" s="13" t="n"/>
    </row>
    <row r="2019">
      <c r="E2019" s="13" t="n"/>
    </row>
    <row r="2020">
      <c r="E2020" s="13" t="n"/>
    </row>
    <row r="2021">
      <c r="E2021" s="13" t="n"/>
    </row>
    <row r="2022">
      <c r="E2022" s="13" t="n"/>
    </row>
    <row r="2023">
      <c r="E2023" s="13" t="n"/>
    </row>
    <row r="2024">
      <c r="E2024" s="13" t="n"/>
    </row>
    <row r="2025">
      <c r="E2025" s="13" t="n"/>
    </row>
    <row r="2026">
      <c r="E2026" s="13" t="n"/>
    </row>
    <row r="2027">
      <c r="E2027" s="13" t="n"/>
    </row>
    <row r="2028">
      <c r="E2028" s="13" t="n"/>
    </row>
    <row r="2029">
      <c r="E2029" s="13" t="n"/>
    </row>
    <row r="2030">
      <c r="E2030" s="13" t="n"/>
    </row>
    <row r="2031">
      <c r="E2031" s="13" t="n"/>
    </row>
    <row r="2032">
      <c r="E2032" s="13" t="n"/>
    </row>
    <row r="2033">
      <c r="E2033" s="13" t="n"/>
    </row>
    <row r="2034">
      <c r="E2034" s="13" t="n"/>
    </row>
    <row r="2035">
      <c r="E2035" s="13" t="n"/>
    </row>
    <row r="2036">
      <c r="E2036" s="13" t="n"/>
    </row>
    <row r="2037">
      <c r="E2037" s="13" t="n"/>
    </row>
    <row r="2038">
      <c r="E2038" s="13" t="n"/>
    </row>
    <row r="2039">
      <c r="E2039" s="13" t="n"/>
    </row>
    <row r="2040">
      <c r="E2040" s="13" t="n"/>
    </row>
    <row r="2041">
      <c r="E2041" s="13" t="n"/>
    </row>
    <row r="2042">
      <c r="E2042" s="13" t="n"/>
    </row>
    <row r="2043">
      <c r="E2043" s="13" t="n"/>
    </row>
    <row r="2044">
      <c r="E2044" s="13" t="n"/>
    </row>
    <row r="2045">
      <c r="E2045" s="13" t="n"/>
    </row>
    <row r="2046">
      <c r="E2046" s="13" t="n"/>
    </row>
    <row r="2047">
      <c r="E2047" s="13" t="n"/>
    </row>
    <row r="2048">
      <c r="E2048" s="13" t="n"/>
    </row>
    <row r="2049">
      <c r="E2049" s="13" t="n"/>
    </row>
    <row r="2050">
      <c r="E2050" s="13" t="n"/>
    </row>
    <row r="2051">
      <c r="E2051" s="13" t="n"/>
    </row>
    <row r="2052">
      <c r="E2052" s="13" t="n"/>
    </row>
    <row r="2053">
      <c r="E2053" s="13" t="n"/>
    </row>
    <row r="2054">
      <c r="E2054" s="13" t="n"/>
    </row>
    <row r="2055">
      <c r="E2055" s="13" t="n"/>
    </row>
    <row r="2056">
      <c r="E2056" s="13" t="n"/>
    </row>
    <row r="2057">
      <c r="E2057" s="13" t="n"/>
    </row>
    <row r="2058">
      <c r="E2058" s="13" t="n"/>
    </row>
    <row r="2059">
      <c r="E2059" s="13" t="n"/>
    </row>
    <row r="2060">
      <c r="E2060" s="13" t="n"/>
    </row>
    <row r="2061">
      <c r="E2061" s="13" t="n"/>
    </row>
    <row r="2062">
      <c r="E2062" s="13" t="n"/>
    </row>
    <row r="2063">
      <c r="E2063" s="13" t="n"/>
    </row>
    <row r="2064">
      <c r="E2064" s="13" t="n"/>
    </row>
    <row r="2065">
      <c r="E2065" s="13" t="n"/>
    </row>
    <row r="2066">
      <c r="E2066" s="13" t="n"/>
    </row>
    <row r="2067">
      <c r="E2067" s="13" t="n"/>
    </row>
    <row r="2068">
      <c r="E2068" s="13" t="n"/>
    </row>
    <row r="2069">
      <c r="E2069" s="13" t="n"/>
    </row>
    <row r="2070">
      <c r="E2070" s="13" t="n"/>
    </row>
    <row r="2071">
      <c r="E2071" s="13" t="n"/>
    </row>
    <row r="2072">
      <c r="E2072" s="13" t="n"/>
    </row>
    <row r="2073">
      <c r="E2073" s="13" t="n"/>
    </row>
    <row r="2074">
      <c r="E2074" s="13" t="n"/>
    </row>
    <row r="2075">
      <c r="E2075" s="13" t="n"/>
    </row>
    <row r="2076">
      <c r="E2076" s="13" t="n"/>
    </row>
    <row r="2077">
      <c r="E2077" s="13" t="n"/>
    </row>
    <row r="2078">
      <c r="E2078" s="13" t="n"/>
    </row>
    <row r="2079">
      <c r="E2079" s="13" t="n"/>
    </row>
    <row r="2080">
      <c r="E2080" s="13" t="n"/>
    </row>
    <row r="2081">
      <c r="E2081" s="13" t="n"/>
    </row>
    <row r="2082">
      <c r="E2082" s="13" t="n"/>
    </row>
    <row r="2083">
      <c r="E2083" s="13" t="n"/>
    </row>
    <row r="2084">
      <c r="E2084" s="13" t="n"/>
    </row>
    <row r="2085">
      <c r="E2085" s="13" t="n"/>
    </row>
    <row r="2086">
      <c r="E2086" s="13" t="n"/>
    </row>
    <row r="2087">
      <c r="E2087" s="13" t="n"/>
    </row>
    <row r="2088">
      <c r="E2088" s="13" t="n"/>
    </row>
    <row r="2089">
      <c r="E2089" s="13" t="n"/>
    </row>
    <row r="2090">
      <c r="E2090" s="13" t="n"/>
    </row>
    <row r="2091">
      <c r="E2091" s="13" t="n"/>
    </row>
    <row r="2092">
      <c r="E2092" s="13" t="n"/>
    </row>
    <row r="2093">
      <c r="E2093" s="13" t="n"/>
    </row>
    <row r="2094">
      <c r="E2094" s="13" t="n"/>
    </row>
    <row r="2095">
      <c r="E2095" s="13" t="n"/>
    </row>
    <row r="2096">
      <c r="E2096" s="13" t="n"/>
    </row>
    <row r="2097">
      <c r="E2097" s="13" t="n"/>
    </row>
    <row r="2098">
      <c r="E2098" s="13" t="n"/>
    </row>
    <row r="2099">
      <c r="E2099" s="13" t="n"/>
    </row>
    <row r="2100">
      <c r="E2100" s="13" t="n"/>
    </row>
    <row r="2101">
      <c r="E2101" s="13" t="n"/>
    </row>
    <row r="2102">
      <c r="E2102" s="13" t="n"/>
    </row>
    <row r="2103">
      <c r="E2103" s="13" t="n"/>
    </row>
    <row r="2104">
      <c r="E2104" s="13" t="n"/>
    </row>
    <row r="2105">
      <c r="E2105" s="13" t="n"/>
    </row>
    <row r="2106">
      <c r="E2106" s="13" t="n"/>
    </row>
    <row r="2107">
      <c r="E2107" s="13" t="n"/>
    </row>
    <row r="2108">
      <c r="E2108" s="13" t="n"/>
    </row>
    <row r="2109">
      <c r="E2109" s="13" t="n"/>
    </row>
    <row r="2110">
      <c r="E2110" s="13" t="n"/>
    </row>
    <row r="2111">
      <c r="E2111" s="13" t="n"/>
    </row>
    <row r="2112">
      <c r="E2112" s="13" t="n"/>
    </row>
    <row r="2113">
      <c r="E2113" s="13" t="n"/>
    </row>
    <row r="2114">
      <c r="E2114" s="13" t="n"/>
    </row>
    <row r="2115">
      <c r="E2115" s="13" t="n"/>
    </row>
    <row r="2116">
      <c r="E2116" s="13" t="n"/>
    </row>
    <row r="2117">
      <c r="E2117" s="13" t="n"/>
    </row>
    <row r="2118">
      <c r="E2118" s="13" t="n"/>
    </row>
    <row r="2119">
      <c r="E2119" s="13" t="n"/>
    </row>
    <row r="2120">
      <c r="E2120" s="13" t="n"/>
    </row>
    <row r="2121">
      <c r="E2121" s="13" t="n"/>
    </row>
    <row r="2122">
      <c r="E2122" s="13" t="n"/>
    </row>
    <row r="2123">
      <c r="E2123" s="13" t="n"/>
    </row>
    <row r="2124">
      <c r="E2124" s="13" t="n"/>
    </row>
    <row r="2125">
      <c r="E2125" s="13" t="n"/>
    </row>
    <row r="2126">
      <c r="E2126" s="13" t="n"/>
    </row>
    <row r="2127">
      <c r="E2127" s="13" t="n"/>
    </row>
    <row r="2128">
      <c r="E2128" s="13" t="n"/>
    </row>
    <row r="2129">
      <c r="E2129" s="13" t="n"/>
    </row>
    <row r="2130">
      <c r="E2130" s="13" t="n"/>
    </row>
    <row r="2131">
      <c r="E2131" s="13" t="n"/>
    </row>
    <row r="2132">
      <c r="E2132" s="13" t="n"/>
    </row>
    <row r="2133">
      <c r="E2133" s="13" t="n"/>
    </row>
    <row r="2134">
      <c r="E2134" s="13" t="n"/>
    </row>
    <row r="2135">
      <c r="E2135" s="13" t="n"/>
    </row>
    <row r="2136">
      <c r="E2136" s="13" t="n"/>
    </row>
    <row r="2137">
      <c r="E2137" s="13" t="n"/>
    </row>
    <row r="2138">
      <c r="E2138" s="13" t="n"/>
    </row>
    <row r="2139">
      <c r="E2139" s="13" t="n"/>
    </row>
    <row r="2140">
      <c r="E2140" s="13" t="n"/>
    </row>
    <row r="2141">
      <c r="E2141" s="13" t="n"/>
    </row>
    <row r="2142">
      <c r="E2142" s="13" t="n"/>
    </row>
    <row r="2143">
      <c r="E2143" s="13" t="n"/>
    </row>
    <row r="2144">
      <c r="E2144" s="13" t="n"/>
    </row>
    <row r="2145">
      <c r="E2145" s="13" t="n"/>
    </row>
    <row r="2146">
      <c r="E2146" s="13" t="n"/>
    </row>
    <row r="2147">
      <c r="E2147" s="13" t="n"/>
    </row>
    <row r="2148">
      <c r="E2148" s="13" t="n"/>
    </row>
    <row r="2149">
      <c r="E2149" s="13" t="n"/>
    </row>
    <row r="2150">
      <c r="E2150" s="13" t="n"/>
    </row>
    <row r="2151">
      <c r="E2151" s="13" t="n"/>
    </row>
    <row r="2152">
      <c r="E2152" s="13" t="n"/>
    </row>
    <row r="2153">
      <c r="E2153" s="13" t="n"/>
    </row>
    <row r="2154">
      <c r="E2154" s="13" t="n"/>
    </row>
    <row r="2155">
      <c r="E2155" s="13" t="n"/>
    </row>
    <row r="2156">
      <c r="E2156" s="13" t="n"/>
    </row>
    <row r="2157">
      <c r="E2157" s="13" t="n"/>
    </row>
    <row r="2158">
      <c r="E2158" s="13" t="n"/>
    </row>
    <row r="2159">
      <c r="E2159" s="13" t="n"/>
    </row>
    <row r="2160">
      <c r="E2160" s="13" t="n"/>
    </row>
    <row r="2161">
      <c r="E2161" s="13" t="n"/>
    </row>
    <row r="2162">
      <c r="E2162" s="13" t="n"/>
    </row>
    <row r="2163">
      <c r="E2163" s="13" t="n"/>
    </row>
    <row r="2164">
      <c r="E2164" s="13" t="n"/>
    </row>
    <row r="2165">
      <c r="E2165" s="13" t="n"/>
    </row>
    <row r="2166">
      <c r="E2166" s="13" t="n"/>
    </row>
    <row r="2167">
      <c r="E2167" s="13" t="n"/>
    </row>
    <row r="2168">
      <c r="E2168" s="13" t="n"/>
    </row>
    <row r="2169">
      <c r="E2169" s="13" t="n"/>
    </row>
    <row r="2170">
      <c r="E2170" s="13" t="n"/>
    </row>
    <row r="2171">
      <c r="E2171" s="13" t="n"/>
    </row>
    <row r="2172">
      <c r="E2172" s="13" t="n"/>
    </row>
    <row r="2173">
      <c r="E2173" s="13" t="n"/>
    </row>
    <row r="2174">
      <c r="E2174" s="13" t="n"/>
    </row>
    <row r="2175">
      <c r="E2175" s="13" t="n"/>
    </row>
    <row r="2176">
      <c r="E2176" s="13" t="n"/>
    </row>
    <row r="2177">
      <c r="E2177" s="13" t="n"/>
    </row>
    <row r="2178">
      <c r="E2178" s="13" t="n"/>
    </row>
    <row r="2179">
      <c r="E2179" s="13" t="n"/>
    </row>
    <row r="2180">
      <c r="E2180" s="13" t="n"/>
    </row>
    <row r="2181">
      <c r="E2181" s="13" t="n"/>
    </row>
    <row r="2182">
      <c r="E2182" s="13" t="n"/>
    </row>
    <row r="2183">
      <c r="E2183" s="13" t="n"/>
    </row>
    <row r="2184">
      <c r="E2184" s="13" t="n"/>
    </row>
    <row r="2185">
      <c r="E2185" s="13" t="n"/>
    </row>
    <row r="2186">
      <c r="E2186" s="13" t="n"/>
    </row>
    <row r="2187">
      <c r="E2187" s="13" t="n"/>
    </row>
    <row r="2188">
      <c r="E2188" s="13" t="n"/>
    </row>
    <row r="2189">
      <c r="E2189" s="13" t="n"/>
    </row>
    <row r="2190">
      <c r="E2190" s="13" t="n"/>
    </row>
    <row r="2191">
      <c r="E2191" s="13" t="n"/>
    </row>
    <row r="2192">
      <c r="E2192" s="13" t="n"/>
    </row>
    <row r="2193">
      <c r="E2193" s="13" t="n"/>
    </row>
    <row r="2194">
      <c r="E2194" s="13" t="n"/>
    </row>
    <row r="2195">
      <c r="E2195" s="13" t="n"/>
    </row>
    <row r="2196">
      <c r="E2196" s="13" t="n"/>
    </row>
    <row r="2197">
      <c r="E2197" s="13" t="n"/>
    </row>
    <row r="2198">
      <c r="E2198" s="13" t="n"/>
    </row>
    <row r="2199">
      <c r="E2199" s="13" t="n"/>
    </row>
    <row r="2200">
      <c r="E2200" s="13" t="n"/>
    </row>
    <row r="2201">
      <c r="E2201" s="13" t="n"/>
    </row>
    <row r="2202">
      <c r="E2202" s="13" t="n"/>
    </row>
    <row r="2203">
      <c r="E2203" s="13" t="n"/>
    </row>
    <row r="2204">
      <c r="E2204" s="13" t="n"/>
    </row>
    <row r="2205">
      <c r="E2205" s="13" t="n"/>
    </row>
    <row r="2206">
      <c r="E2206" s="13" t="n"/>
    </row>
    <row r="2207">
      <c r="E2207" s="13" t="n"/>
    </row>
    <row r="2208">
      <c r="E2208" s="13" t="n"/>
    </row>
    <row r="2209">
      <c r="E2209" s="13" t="n"/>
    </row>
    <row r="2210">
      <c r="E2210" s="13" t="n"/>
    </row>
    <row r="2211">
      <c r="E2211" s="13" t="n"/>
    </row>
    <row r="2212">
      <c r="E2212" s="13" t="n"/>
    </row>
    <row r="2213">
      <c r="E2213" s="13" t="n"/>
    </row>
    <row r="2214">
      <c r="E2214" s="13" t="n"/>
    </row>
    <row r="2215">
      <c r="E2215" s="13" t="n"/>
    </row>
    <row r="2216">
      <c r="E2216" s="13" t="n"/>
    </row>
    <row r="2217">
      <c r="E2217" s="13" t="n"/>
    </row>
    <row r="2218">
      <c r="E2218" s="13" t="n"/>
    </row>
    <row r="2219">
      <c r="E2219" s="13" t="n"/>
    </row>
    <row r="2220">
      <c r="E2220" s="13" t="n"/>
    </row>
    <row r="2221">
      <c r="E2221" s="13" t="n"/>
    </row>
    <row r="2222">
      <c r="E2222" s="13" t="n"/>
    </row>
    <row r="2223">
      <c r="E2223" s="13" t="n"/>
    </row>
    <row r="2224">
      <c r="E2224" s="13" t="n"/>
    </row>
    <row r="2225">
      <c r="E2225" s="13" t="n"/>
    </row>
    <row r="2226">
      <c r="E2226" s="13" t="n"/>
    </row>
    <row r="2227">
      <c r="E2227" s="13" t="n"/>
    </row>
    <row r="2228">
      <c r="E2228" s="13" t="n"/>
    </row>
    <row r="2229">
      <c r="E2229" s="13" t="n"/>
    </row>
    <row r="2230">
      <c r="E2230" s="13" t="n"/>
    </row>
    <row r="2231">
      <c r="E2231" s="13" t="n"/>
    </row>
    <row r="2232">
      <c r="E2232" s="13" t="n"/>
    </row>
    <row r="2233">
      <c r="E2233" s="13" t="n"/>
    </row>
    <row r="2234">
      <c r="E2234" s="13" t="n"/>
    </row>
    <row r="2235">
      <c r="E2235" s="13" t="n"/>
    </row>
    <row r="2236">
      <c r="E2236" s="13" t="n"/>
    </row>
    <row r="2237">
      <c r="E2237" s="13" t="n"/>
    </row>
    <row r="2238">
      <c r="E2238" s="13" t="n"/>
    </row>
    <row r="2239">
      <c r="E2239" s="13" t="n"/>
    </row>
    <row r="2240">
      <c r="E2240" s="13" t="n"/>
    </row>
    <row r="2241">
      <c r="E2241" s="13" t="n"/>
    </row>
    <row r="2242">
      <c r="E2242" s="13" t="n"/>
    </row>
    <row r="2243">
      <c r="E2243" s="13" t="n"/>
    </row>
    <row r="2244">
      <c r="E2244" s="13" t="n"/>
    </row>
    <row r="2245">
      <c r="E2245" s="13" t="n"/>
    </row>
    <row r="2246">
      <c r="E2246" s="13" t="n"/>
    </row>
    <row r="2247">
      <c r="E2247" s="13" t="n"/>
    </row>
    <row r="2248">
      <c r="E2248" s="13" t="n"/>
    </row>
    <row r="2249">
      <c r="E2249" s="13" t="n"/>
    </row>
    <row r="2250">
      <c r="E2250" s="13" t="n"/>
    </row>
    <row r="2251">
      <c r="E2251" s="13" t="n"/>
    </row>
    <row r="2252">
      <c r="E2252" s="13" t="n"/>
    </row>
    <row r="2253">
      <c r="E2253" s="13" t="n"/>
    </row>
    <row r="2254">
      <c r="E2254" s="13" t="n"/>
    </row>
    <row r="2255">
      <c r="E2255" s="13" t="n"/>
    </row>
    <row r="2256">
      <c r="E2256" s="13" t="n"/>
    </row>
    <row r="2257">
      <c r="E2257" s="13" t="n"/>
    </row>
    <row r="2258">
      <c r="E2258" s="13" t="n"/>
    </row>
    <row r="2259">
      <c r="E2259" s="13" t="n"/>
    </row>
    <row r="2260">
      <c r="E2260" s="13" t="n"/>
    </row>
    <row r="2261">
      <c r="E2261" s="13" t="n"/>
    </row>
    <row r="2262">
      <c r="E2262" s="13" t="n"/>
    </row>
    <row r="2263">
      <c r="E2263" s="13" t="n"/>
    </row>
    <row r="2264">
      <c r="E2264" s="13" t="n"/>
    </row>
    <row r="2265">
      <c r="E2265" s="13" t="n"/>
    </row>
    <row r="2266">
      <c r="E2266" s="13" t="n"/>
    </row>
    <row r="2267">
      <c r="E2267" s="13" t="n"/>
    </row>
    <row r="2268">
      <c r="E2268" s="13" t="n"/>
    </row>
    <row r="2269">
      <c r="E2269" s="13" t="n"/>
    </row>
    <row r="2270">
      <c r="E2270" s="13" t="n"/>
    </row>
    <row r="2271">
      <c r="E2271" s="13" t="n"/>
    </row>
    <row r="2272">
      <c r="E2272" s="13" t="n"/>
    </row>
    <row r="2273">
      <c r="E2273" s="13" t="n"/>
    </row>
    <row r="2274">
      <c r="E2274" s="13" t="n"/>
    </row>
    <row r="2275">
      <c r="E2275" s="13" t="n"/>
    </row>
    <row r="2276">
      <c r="E2276" s="13" t="n"/>
    </row>
    <row r="2277">
      <c r="E2277" s="13" t="n"/>
    </row>
    <row r="2278">
      <c r="E2278" s="13" t="n"/>
    </row>
    <row r="2279">
      <c r="E2279" s="13" t="n"/>
    </row>
    <row r="2280">
      <c r="E2280" s="13" t="n"/>
    </row>
    <row r="2281">
      <c r="E2281" s="13" t="n"/>
    </row>
    <row r="2282">
      <c r="E2282" s="13" t="n"/>
    </row>
    <row r="2283">
      <c r="E2283" s="13" t="n"/>
    </row>
    <row r="2284">
      <c r="E2284" s="13" t="n"/>
    </row>
    <row r="2285">
      <c r="E2285" s="13" t="n"/>
    </row>
    <row r="2286">
      <c r="E2286" s="13" t="n"/>
    </row>
    <row r="2287">
      <c r="E2287" s="13" t="n"/>
    </row>
    <row r="2288">
      <c r="E2288" s="13" t="n"/>
    </row>
    <row r="2289">
      <c r="E2289" s="13" t="n"/>
    </row>
    <row r="2290">
      <c r="E2290" s="13" t="n"/>
    </row>
    <row r="2291">
      <c r="E2291" s="13" t="n"/>
    </row>
    <row r="2292">
      <c r="E2292" s="13" t="n"/>
    </row>
    <row r="2293">
      <c r="E2293" s="13" t="n"/>
    </row>
    <row r="2294">
      <c r="E2294" s="13" t="n"/>
    </row>
    <row r="2295">
      <c r="E2295" s="13" t="n"/>
    </row>
    <row r="2296">
      <c r="E2296" s="13" t="n"/>
    </row>
    <row r="2297">
      <c r="E2297" s="13" t="n"/>
    </row>
    <row r="2298">
      <c r="E2298" s="13" t="n"/>
    </row>
    <row r="2299">
      <c r="E2299" s="13" t="n"/>
    </row>
    <row r="2300">
      <c r="E2300" s="13" t="n"/>
    </row>
    <row r="2301">
      <c r="E2301" s="13" t="n"/>
    </row>
    <row r="2302">
      <c r="E2302" s="13" t="n"/>
    </row>
    <row r="2303">
      <c r="E2303" s="13" t="n"/>
    </row>
    <row r="2304">
      <c r="E2304" s="13" t="n"/>
    </row>
    <row r="2305">
      <c r="E2305" s="13" t="n"/>
    </row>
    <row r="2306">
      <c r="E2306" s="13" t="n"/>
    </row>
    <row r="2307">
      <c r="E2307" s="13" t="n"/>
    </row>
    <row r="2308">
      <c r="E2308" s="13" t="n"/>
    </row>
    <row r="2309">
      <c r="E2309" s="13" t="n"/>
    </row>
    <row r="2310">
      <c r="E2310" s="13" t="n"/>
    </row>
    <row r="2311">
      <c r="E2311" s="13" t="n"/>
    </row>
    <row r="2312">
      <c r="E2312" s="13" t="n"/>
    </row>
    <row r="2313">
      <c r="E2313" s="13" t="n"/>
    </row>
    <row r="2314">
      <c r="E2314" s="13" t="n"/>
    </row>
    <row r="2315">
      <c r="E2315" s="13" t="n"/>
    </row>
    <row r="2316">
      <c r="E2316" s="13" t="n"/>
    </row>
    <row r="2317">
      <c r="E2317" s="13" t="n"/>
    </row>
    <row r="2318">
      <c r="E2318" s="13" t="n"/>
    </row>
    <row r="2319">
      <c r="E2319" s="13" t="n"/>
    </row>
    <row r="2320">
      <c r="E2320" s="13" t="n"/>
    </row>
    <row r="2321">
      <c r="E2321" s="13" t="n"/>
    </row>
    <row r="2322">
      <c r="E2322" s="13" t="n"/>
    </row>
    <row r="2323">
      <c r="E2323" s="13" t="n"/>
    </row>
    <row r="2324">
      <c r="E2324" s="13" t="n"/>
    </row>
    <row r="2325">
      <c r="E2325" s="13" t="n"/>
    </row>
    <row r="2326">
      <c r="E2326" s="13" t="n"/>
    </row>
    <row r="2327">
      <c r="E2327" s="13" t="n"/>
    </row>
    <row r="2328">
      <c r="E2328" s="13" t="n"/>
    </row>
    <row r="2329">
      <c r="E2329" s="13" t="n"/>
    </row>
    <row r="2330">
      <c r="E2330" s="13" t="n"/>
    </row>
    <row r="2331">
      <c r="E2331" s="13" t="n"/>
    </row>
    <row r="2332">
      <c r="E2332" s="13" t="n"/>
    </row>
    <row r="2333">
      <c r="E2333" s="13" t="n"/>
    </row>
    <row r="2334">
      <c r="E2334" s="13" t="n"/>
    </row>
    <row r="2335">
      <c r="E2335" s="13" t="n"/>
    </row>
    <row r="2336">
      <c r="E2336" s="13" t="n"/>
    </row>
    <row r="2337">
      <c r="E2337" s="13" t="n"/>
    </row>
    <row r="2338">
      <c r="E2338" s="13" t="n"/>
    </row>
    <row r="2339">
      <c r="E2339" s="13" t="n"/>
    </row>
    <row r="2340">
      <c r="E2340" s="13" t="n"/>
    </row>
    <row r="2341">
      <c r="E2341" s="13" t="n"/>
    </row>
    <row r="2342">
      <c r="E2342" s="13" t="n"/>
    </row>
    <row r="2343">
      <c r="E2343" s="13" t="n"/>
    </row>
    <row r="2344">
      <c r="E2344" s="13" t="n"/>
    </row>
    <row r="2345">
      <c r="E2345" s="13" t="n"/>
    </row>
    <row r="2346">
      <c r="E2346" s="13" t="n"/>
    </row>
    <row r="2347">
      <c r="E2347" s="13" t="n"/>
    </row>
    <row r="2348">
      <c r="E2348" s="13" t="n"/>
    </row>
    <row r="2349">
      <c r="E2349" s="13" t="n"/>
    </row>
    <row r="2350">
      <c r="E2350" s="13" t="n"/>
    </row>
    <row r="2351">
      <c r="E2351" s="13" t="n"/>
    </row>
    <row r="2352">
      <c r="E2352" s="13" t="n"/>
    </row>
    <row r="2353">
      <c r="E2353" s="13" t="n"/>
    </row>
    <row r="2354">
      <c r="E2354" s="13" t="n"/>
    </row>
    <row r="2355">
      <c r="E2355" s="13" t="n"/>
    </row>
    <row r="2356">
      <c r="E2356" s="13" t="n"/>
    </row>
    <row r="2357">
      <c r="E2357" s="13" t="n"/>
    </row>
    <row r="2358">
      <c r="E2358" s="13" t="n"/>
    </row>
    <row r="2359">
      <c r="E2359" s="13" t="n"/>
    </row>
    <row r="2360">
      <c r="E2360" s="13" t="n"/>
    </row>
    <row r="2361">
      <c r="E2361" s="13" t="n"/>
    </row>
    <row r="2362">
      <c r="E2362" s="13" t="n"/>
    </row>
    <row r="2363">
      <c r="E2363" s="13" t="n"/>
    </row>
    <row r="2364">
      <c r="E2364" s="13" t="n"/>
    </row>
    <row r="2365">
      <c r="E2365" s="13" t="n"/>
    </row>
    <row r="2366">
      <c r="E2366" s="13" t="n"/>
    </row>
    <row r="2367">
      <c r="E2367" s="13" t="n"/>
    </row>
    <row r="2368">
      <c r="E2368" s="13" t="n"/>
    </row>
    <row r="2369">
      <c r="E2369" s="13" t="n"/>
    </row>
    <row r="2370">
      <c r="E2370" s="13" t="n"/>
    </row>
    <row r="2371">
      <c r="E2371" s="13" t="n"/>
    </row>
    <row r="2372">
      <c r="E2372" s="13" t="n"/>
    </row>
    <row r="2373">
      <c r="E2373" s="13" t="n"/>
    </row>
    <row r="2374">
      <c r="E2374" s="13" t="n"/>
    </row>
    <row r="2375">
      <c r="E2375" s="13" t="n"/>
    </row>
    <row r="2376">
      <c r="E2376" s="13" t="n"/>
    </row>
    <row r="2377">
      <c r="E2377" s="13" t="n"/>
    </row>
    <row r="2378">
      <c r="E2378" s="13" t="n"/>
    </row>
    <row r="2379">
      <c r="E2379" s="13" t="n"/>
    </row>
    <row r="2380">
      <c r="E2380" s="13" t="n"/>
    </row>
    <row r="2381">
      <c r="E2381" s="13" t="n"/>
    </row>
    <row r="2382">
      <c r="E2382" s="13" t="n"/>
    </row>
    <row r="2383">
      <c r="E2383" s="13" t="n"/>
    </row>
    <row r="2384">
      <c r="E2384" s="13" t="n"/>
    </row>
    <row r="2385">
      <c r="E2385" s="13" t="n"/>
    </row>
    <row r="2386">
      <c r="E2386" s="13" t="n"/>
    </row>
    <row r="2387">
      <c r="E2387" s="13" t="n"/>
    </row>
    <row r="2388">
      <c r="E2388" s="13" t="n"/>
    </row>
    <row r="2389">
      <c r="E2389" s="13" t="n"/>
    </row>
    <row r="2390">
      <c r="E2390" s="13" t="n"/>
    </row>
    <row r="2391">
      <c r="E2391" s="13" t="n"/>
    </row>
    <row r="2392">
      <c r="E2392" s="13" t="n"/>
    </row>
    <row r="2393">
      <c r="E2393" s="13" t="n"/>
    </row>
    <row r="2394">
      <c r="E2394" s="13" t="n"/>
    </row>
    <row r="2395">
      <c r="E2395" s="13" t="n"/>
    </row>
    <row r="2396">
      <c r="E2396" s="13" t="n"/>
    </row>
    <row r="2397">
      <c r="E2397" s="13" t="n"/>
    </row>
    <row r="2398">
      <c r="E2398" s="13" t="n"/>
    </row>
    <row r="2399">
      <c r="E2399" s="13" t="n"/>
    </row>
    <row r="2400">
      <c r="E2400" s="13" t="n"/>
    </row>
    <row r="2401">
      <c r="E2401" s="13" t="n"/>
    </row>
    <row r="2402">
      <c r="E2402" s="13" t="n"/>
    </row>
    <row r="2403">
      <c r="E2403" s="13" t="n"/>
    </row>
    <row r="2404">
      <c r="E2404" s="13" t="n"/>
    </row>
    <row r="2405">
      <c r="E2405" s="13" t="n"/>
    </row>
    <row r="2406">
      <c r="E2406" s="13" t="n"/>
    </row>
    <row r="2407">
      <c r="E2407" s="13" t="n"/>
    </row>
    <row r="2408">
      <c r="E2408" s="13" t="n"/>
    </row>
    <row r="2409">
      <c r="E2409" s="13" t="n"/>
    </row>
    <row r="2410">
      <c r="E2410" s="13" t="n"/>
    </row>
    <row r="2411">
      <c r="E2411" s="13" t="n"/>
    </row>
    <row r="2412">
      <c r="E2412" s="13" t="n"/>
    </row>
    <row r="2413">
      <c r="E2413" s="13" t="n"/>
    </row>
    <row r="2414">
      <c r="E2414" s="13" t="n"/>
    </row>
    <row r="2415">
      <c r="E2415" s="13" t="n"/>
    </row>
    <row r="2416">
      <c r="E2416" s="13" t="n"/>
    </row>
    <row r="2417">
      <c r="E2417" s="13" t="n"/>
    </row>
    <row r="2418">
      <c r="E2418" s="13" t="n"/>
    </row>
    <row r="2419">
      <c r="E2419" s="13" t="n"/>
    </row>
    <row r="2420">
      <c r="E2420" s="13" t="n"/>
    </row>
    <row r="2421">
      <c r="E2421" s="13" t="n"/>
    </row>
    <row r="2422">
      <c r="E2422" s="13" t="n"/>
    </row>
    <row r="2423">
      <c r="E2423" s="13" t="n"/>
    </row>
    <row r="2424">
      <c r="E2424" s="13" t="n"/>
    </row>
    <row r="2425">
      <c r="E2425" s="13" t="n"/>
    </row>
    <row r="2426">
      <c r="E2426" s="13" t="n"/>
    </row>
    <row r="2427">
      <c r="E2427" s="13" t="n"/>
    </row>
    <row r="2428">
      <c r="E2428" s="13" t="n"/>
    </row>
    <row r="2429">
      <c r="E2429" s="13" t="n"/>
    </row>
    <row r="2430">
      <c r="E2430" s="13" t="n"/>
    </row>
    <row r="2431">
      <c r="E2431" s="13" t="n"/>
    </row>
    <row r="2432">
      <c r="E2432" s="13" t="n"/>
    </row>
    <row r="2433">
      <c r="E2433" s="13" t="n"/>
    </row>
    <row r="2434">
      <c r="E2434" s="13" t="n"/>
    </row>
    <row r="2435">
      <c r="E2435" s="13" t="n"/>
    </row>
    <row r="2436">
      <c r="E2436" s="13" t="n"/>
    </row>
    <row r="2437">
      <c r="E2437" s="13" t="n"/>
    </row>
    <row r="2438">
      <c r="E2438" s="13" t="n"/>
    </row>
    <row r="2439">
      <c r="E2439" s="13" t="n"/>
    </row>
    <row r="2440">
      <c r="E2440" s="13" t="n"/>
    </row>
    <row r="2441">
      <c r="E2441" s="13" t="n"/>
    </row>
    <row r="2442">
      <c r="E2442" s="13" t="n"/>
    </row>
    <row r="2443">
      <c r="E2443" s="13" t="n"/>
    </row>
    <row r="2444">
      <c r="E2444" s="13" t="n"/>
    </row>
    <row r="2445">
      <c r="E2445" s="13" t="n"/>
    </row>
    <row r="2446">
      <c r="E2446" s="13" t="n"/>
    </row>
    <row r="2447">
      <c r="E2447" s="13" t="n"/>
    </row>
    <row r="2448">
      <c r="E2448" s="13" t="n"/>
    </row>
    <row r="2449">
      <c r="E2449" s="13" t="n"/>
    </row>
    <row r="2450">
      <c r="E2450" s="13" t="n"/>
    </row>
    <row r="2451">
      <c r="E2451" s="13" t="n"/>
    </row>
    <row r="2452">
      <c r="E2452" s="13" t="n"/>
    </row>
    <row r="2453">
      <c r="E2453" s="13" t="n"/>
    </row>
    <row r="2454">
      <c r="E2454" s="13" t="n"/>
    </row>
    <row r="2455">
      <c r="E2455" s="13" t="n"/>
    </row>
    <row r="2456">
      <c r="E2456" s="13" t="n"/>
    </row>
    <row r="2457">
      <c r="E2457" s="13" t="n"/>
    </row>
    <row r="2458">
      <c r="E2458" s="13" t="n"/>
    </row>
    <row r="2459">
      <c r="E2459" s="13" t="n"/>
    </row>
    <row r="2460">
      <c r="E2460" s="13" t="n"/>
    </row>
    <row r="2461">
      <c r="E2461" s="13" t="n"/>
    </row>
    <row r="2462">
      <c r="E2462" s="13" t="n"/>
    </row>
    <row r="2463">
      <c r="E2463" s="13" t="n"/>
    </row>
    <row r="2464">
      <c r="E2464" s="13" t="n"/>
    </row>
    <row r="2465">
      <c r="E2465" s="13" t="n"/>
    </row>
    <row r="2466">
      <c r="E2466" s="13" t="n"/>
    </row>
    <row r="2467">
      <c r="E2467" s="13" t="n"/>
    </row>
    <row r="2468">
      <c r="E2468" s="13" t="n"/>
    </row>
    <row r="2469">
      <c r="E2469" s="13" t="n"/>
    </row>
    <row r="2470">
      <c r="E2470" s="13" t="n"/>
    </row>
    <row r="2471">
      <c r="E2471" s="13" t="n"/>
    </row>
    <row r="2472">
      <c r="E2472" s="13" t="n"/>
    </row>
    <row r="2473">
      <c r="E2473" s="13" t="n"/>
    </row>
    <row r="2474">
      <c r="E2474" s="13" t="n"/>
    </row>
    <row r="2475">
      <c r="E2475" s="13" t="n"/>
    </row>
    <row r="2476">
      <c r="E2476" s="13" t="n"/>
    </row>
    <row r="2477">
      <c r="E2477" s="13" t="n"/>
    </row>
    <row r="2478">
      <c r="E2478" s="13" t="n"/>
    </row>
    <row r="2479">
      <c r="E2479" s="13" t="n"/>
    </row>
    <row r="2480">
      <c r="E2480" s="13" t="n"/>
    </row>
    <row r="2481">
      <c r="E2481" s="13" t="n"/>
    </row>
    <row r="2482">
      <c r="E2482" s="13" t="n"/>
    </row>
    <row r="2483">
      <c r="E2483" s="13" t="n"/>
    </row>
    <row r="2484">
      <c r="E2484" s="13" t="n"/>
    </row>
    <row r="2485">
      <c r="E2485" s="13" t="n"/>
    </row>
    <row r="2486">
      <c r="E2486" s="13" t="n"/>
    </row>
    <row r="2487">
      <c r="E2487" s="13" t="n"/>
    </row>
    <row r="2488">
      <c r="E2488" s="13" t="n"/>
    </row>
    <row r="2489">
      <c r="E2489" s="13" t="n"/>
    </row>
    <row r="2490">
      <c r="E2490" s="13" t="n"/>
    </row>
    <row r="2491">
      <c r="E2491" s="13" t="n"/>
    </row>
    <row r="2492">
      <c r="E2492" s="13" t="n"/>
    </row>
    <row r="2493">
      <c r="E2493" s="13" t="n"/>
    </row>
    <row r="2494">
      <c r="E2494" s="13" t="n"/>
    </row>
    <row r="2495">
      <c r="E2495" s="13" t="n"/>
    </row>
    <row r="2496">
      <c r="E2496" s="13" t="n"/>
    </row>
    <row r="2497">
      <c r="E2497" s="13" t="n"/>
    </row>
    <row r="2498">
      <c r="E2498" s="13" t="n"/>
    </row>
    <row r="2499">
      <c r="E2499" s="13" t="n"/>
    </row>
    <row r="2500">
      <c r="E2500" s="13" t="n"/>
    </row>
    <row r="2501">
      <c r="E2501" s="13" t="n"/>
    </row>
    <row r="2502">
      <c r="E2502" s="13" t="n"/>
    </row>
    <row r="2503">
      <c r="E2503" s="13" t="n"/>
    </row>
    <row r="2504">
      <c r="E2504" s="13" t="n"/>
    </row>
    <row r="2505">
      <c r="E2505" s="13" t="n"/>
    </row>
    <row r="2506">
      <c r="E2506" s="13" t="n"/>
    </row>
    <row r="2507">
      <c r="E2507" s="13" t="n"/>
    </row>
    <row r="2508">
      <c r="E2508" s="13" t="n"/>
    </row>
    <row r="2509">
      <c r="E2509" s="13" t="n"/>
    </row>
    <row r="2510">
      <c r="E2510" s="13" t="n"/>
    </row>
    <row r="2511">
      <c r="E2511" s="13" t="n"/>
    </row>
    <row r="2512">
      <c r="E2512" s="13" t="n"/>
    </row>
    <row r="2513">
      <c r="E2513" s="13" t="n"/>
    </row>
    <row r="2514">
      <c r="E2514" s="13" t="n"/>
    </row>
    <row r="2515">
      <c r="E2515" s="13" t="n"/>
    </row>
    <row r="2516">
      <c r="E2516" s="13" t="n"/>
    </row>
    <row r="2517">
      <c r="E2517" s="13" t="n"/>
    </row>
    <row r="2518">
      <c r="E2518" s="13" t="n"/>
    </row>
    <row r="2519">
      <c r="E2519" s="13" t="n"/>
    </row>
    <row r="2520">
      <c r="E2520" s="13" t="n"/>
    </row>
    <row r="2521">
      <c r="E2521" s="13" t="n"/>
    </row>
    <row r="2522">
      <c r="E2522" s="13" t="n"/>
    </row>
    <row r="2523">
      <c r="E2523" s="13" t="n"/>
    </row>
    <row r="2524">
      <c r="E2524" s="13" t="n"/>
    </row>
    <row r="2525">
      <c r="E2525" s="13" t="n"/>
    </row>
    <row r="2526">
      <c r="E2526" s="13" t="n"/>
    </row>
    <row r="2527">
      <c r="E2527" s="13" t="n"/>
    </row>
    <row r="2528">
      <c r="E2528" s="13" t="n"/>
    </row>
    <row r="2529">
      <c r="E2529" s="13" t="n"/>
    </row>
    <row r="2530">
      <c r="E2530" s="13" t="n"/>
    </row>
    <row r="2531">
      <c r="E2531" s="13" t="n"/>
    </row>
    <row r="2532">
      <c r="E2532" s="13" t="n"/>
    </row>
    <row r="2533">
      <c r="E2533" s="13" t="n"/>
    </row>
    <row r="2534">
      <c r="E2534" s="13" t="n"/>
    </row>
    <row r="2535">
      <c r="E2535" s="13" t="n"/>
    </row>
    <row r="2536">
      <c r="E2536" s="13" t="n"/>
    </row>
    <row r="2537">
      <c r="E2537" s="13" t="n"/>
    </row>
    <row r="2538">
      <c r="E2538" s="13" t="n"/>
    </row>
    <row r="2539">
      <c r="E2539" s="13" t="n"/>
    </row>
    <row r="2540">
      <c r="E2540" s="13" t="n"/>
    </row>
    <row r="2541">
      <c r="E2541" s="13" t="n"/>
    </row>
    <row r="2542">
      <c r="E2542" s="13" t="n"/>
    </row>
    <row r="2543">
      <c r="E2543" s="13" t="n"/>
    </row>
    <row r="2544">
      <c r="E2544" s="13" t="n"/>
    </row>
    <row r="2545">
      <c r="E2545" s="13" t="n"/>
    </row>
    <row r="2546">
      <c r="E2546" s="13" t="n"/>
    </row>
    <row r="2547">
      <c r="E2547" s="13" t="n"/>
    </row>
    <row r="2548">
      <c r="E2548" s="13" t="n"/>
    </row>
    <row r="2549">
      <c r="E2549" s="13" t="n"/>
    </row>
    <row r="2550">
      <c r="E2550" s="13" t="n"/>
    </row>
    <row r="2551">
      <c r="E2551" s="13" t="n"/>
    </row>
    <row r="2552">
      <c r="E2552" s="13" t="n"/>
    </row>
    <row r="2553">
      <c r="E2553" s="13" t="n"/>
    </row>
    <row r="2554">
      <c r="E2554" s="13" t="n"/>
    </row>
    <row r="2555">
      <c r="E2555" s="13" t="n"/>
    </row>
    <row r="2556">
      <c r="E2556" s="13" t="n"/>
    </row>
    <row r="2557">
      <c r="E2557" s="13" t="n"/>
    </row>
    <row r="2558">
      <c r="E2558" s="13" t="n"/>
    </row>
    <row r="2559">
      <c r="E2559" s="13" t="n"/>
    </row>
    <row r="2560">
      <c r="E2560" s="13" t="n"/>
    </row>
    <row r="2561">
      <c r="E2561" s="13" t="n"/>
    </row>
    <row r="2562">
      <c r="E2562" s="13" t="n"/>
    </row>
    <row r="2563">
      <c r="E2563" s="13" t="n"/>
    </row>
    <row r="2564">
      <c r="E2564" s="13" t="n"/>
    </row>
    <row r="2565">
      <c r="E2565" s="13" t="n"/>
    </row>
    <row r="2566">
      <c r="E2566" s="13" t="n"/>
    </row>
    <row r="2567">
      <c r="E2567" s="13" t="n"/>
    </row>
    <row r="2568">
      <c r="E2568" s="13" t="n"/>
    </row>
    <row r="2569">
      <c r="E2569" s="13" t="n"/>
    </row>
    <row r="2570">
      <c r="E2570" s="13" t="n"/>
    </row>
    <row r="2571">
      <c r="E2571" s="13" t="n"/>
    </row>
    <row r="2572">
      <c r="E2572" s="13" t="n"/>
    </row>
    <row r="2573">
      <c r="E2573" s="13" t="n"/>
    </row>
    <row r="2574">
      <c r="E2574" s="13" t="n"/>
    </row>
    <row r="2575">
      <c r="E2575" s="13" t="n"/>
    </row>
    <row r="2576">
      <c r="E2576" s="13" t="n"/>
    </row>
    <row r="2577">
      <c r="E2577" s="13" t="n"/>
    </row>
    <row r="2578">
      <c r="E2578" s="13" t="n"/>
    </row>
    <row r="2579">
      <c r="E2579" s="13" t="n"/>
    </row>
    <row r="2580">
      <c r="E2580" s="13" t="n"/>
    </row>
    <row r="2581">
      <c r="E2581" s="13" t="n"/>
    </row>
    <row r="2582">
      <c r="E2582" s="13" t="n"/>
    </row>
    <row r="2583">
      <c r="E2583" s="13" t="n"/>
    </row>
    <row r="2584">
      <c r="E2584" s="13" t="n"/>
    </row>
    <row r="2585">
      <c r="E2585" s="13" t="n"/>
    </row>
    <row r="2586">
      <c r="E2586" s="13" t="n"/>
    </row>
    <row r="2587">
      <c r="E2587" s="13" t="n"/>
    </row>
    <row r="2588">
      <c r="E2588" s="13" t="n"/>
    </row>
    <row r="2589">
      <c r="E2589" s="13" t="n"/>
    </row>
    <row r="2590">
      <c r="E2590" s="13" t="n"/>
    </row>
    <row r="2591">
      <c r="E2591" s="13" t="n"/>
    </row>
    <row r="2592">
      <c r="E2592" s="13" t="n"/>
    </row>
    <row r="2593">
      <c r="E2593" s="13" t="n"/>
    </row>
    <row r="2594">
      <c r="E2594" s="13" t="n"/>
    </row>
    <row r="2595">
      <c r="E2595" s="13" t="n"/>
    </row>
    <row r="2596">
      <c r="E2596" s="13" t="n"/>
    </row>
    <row r="2597">
      <c r="E2597" s="13" t="n"/>
    </row>
    <row r="2598">
      <c r="E2598" s="13" t="n"/>
    </row>
    <row r="2599">
      <c r="E2599" s="13" t="n"/>
    </row>
    <row r="2600">
      <c r="E2600" s="13" t="n"/>
    </row>
    <row r="2601">
      <c r="E2601" s="13" t="n"/>
    </row>
    <row r="2602">
      <c r="E2602" s="13" t="n"/>
    </row>
    <row r="2603">
      <c r="E2603" s="13" t="n"/>
    </row>
    <row r="2604">
      <c r="E2604" s="13" t="n"/>
    </row>
    <row r="2605">
      <c r="E2605" s="13" t="n"/>
    </row>
    <row r="2606">
      <c r="E2606" s="13" t="n"/>
    </row>
    <row r="2607">
      <c r="E2607" s="13" t="n"/>
    </row>
    <row r="2608">
      <c r="E2608" s="13" t="n"/>
    </row>
    <row r="2609">
      <c r="E2609" s="13" t="n"/>
    </row>
    <row r="2610">
      <c r="E2610" s="13" t="n"/>
    </row>
    <row r="2611">
      <c r="E2611" s="13" t="n"/>
    </row>
    <row r="2612">
      <c r="E2612" s="13" t="n"/>
    </row>
    <row r="2613">
      <c r="E2613" s="13" t="n"/>
    </row>
    <row r="2614">
      <c r="E2614" s="13" t="n"/>
    </row>
    <row r="2615">
      <c r="E2615" s="13" t="n"/>
    </row>
    <row r="2616">
      <c r="E2616" s="13" t="n"/>
    </row>
    <row r="2617">
      <c r="E2617" s="13" t="n"/>
    </row>
    <row r="2618">
      <c r="E2618" s="13" t="n"/>
    </row>
    <row r="2619">
      <c r="E2619" s="13" t="n"/>
    </row>
    <row r="2620">
      <c r="E2620" s="13" t="n"/>
    </row>
    <row r="2621">
      <c r="E2621" s="13" t="n"/>
    </row>
    <row r="2622">
      <c r="E2622" s="13" t="n"/>
    </row>
    <row r="2623">
      <c r="E2623" s="13" t="n"/>
    </row>
    <row r="2624">
      <c r="E2624" s="13" t="n"/>
    </row>
    <row r="2625">
      <c r="E2625" s="13" t="n"/>
    </row>
    <row r="2626">
      <c r="E2626" s="13" t="n"/>
    </row>
    <row r="2627">
      <c r="E2627" s="13" t="n"/>
    </row>
    <row r="2628">
      <c r="E2628" s="13" t="n"/>
    </row>
    <row r="2629">
      <c r="E2629" s="13" t="n"/>
    </row>
    <row r="2630">
      <c r="E2630" s="13" t="n"/>
    </row>
    <row r="2631">
      <c r="E2631" s="13" t="n"/>
    </row>
    <row r="2632">
      <c r="E2632" s="13" t="n"/>
    </row>
    <row r="2633">
      <c r="E2633" s="13" t="n"/>
    </row>
    <row r="2634">
      <c r="E2634" s="13" t="n"/>
    </row>
    <row r="2635">
      <c r="E2635" s="13" t="n"/>
    </row>
    <row r="2636">
      <c r="E2636" s="13" t="n"/>
    </row>
    <row r="2637">
      <c r="E2637" s="13" t="n"/>
    </row>
    <row r="2638">
      <c r="E2638" s="13" t="n"/>
    </row>
    <row r="2639">
      <c r="E2639" s="13" t="n"/>
    </row>
    <row r="2640">
      <c r="E2640" s="13" t="n"/>
    </row>
    <row r="2641">
      <c r="E2641" s="13" t="n"/>
    </row>
    <row r="2642">
      <c r="E2642" s="13" t="n"/>
    </row>
    <row r="2643">
      <c r="E2643" s="13" t="n"/>
    </row>
    <row r="2644">
      <c r="E2644" s="13" t="n"/>
    </row>
    <row r="2645">
      <c r="E2645" s="13" t="n"/>
    </row>
    <row r="2646">
      <c r="E2646" s="13" t="n"/>
    </row>
    <row r="2647">
      <c r="E2647" s="13" t="n"/>
    </row>
    <row r="2648">
      <c r="E2648" s="13" t="n"/>
    </row>
    <row r="2649">
      <c r="E2649" s="13" t="n"/>
    </row>
    <row r="2650">
      <c r="E2650" s="13" t="n"/>
    </row>
    <row r="2651">
      <c r="E2651" s="13" t="n"/>
    </row>
    <row r="2652">
      <c r="E2652" s="13" t="n"/>
    </row>
    <row r="2653">
      <c r="E2653" s="13" t="n"/>
    </row>
    <row r="2654">
      <c r="E2654" s="13" t="n"/>
    </row>
    <row r="2655">
      <c r="E2655" s="13" t="n"/>
    </row>
    <row r="2656">
      <c r="E2656" s="13" t="n"/>
    </row>
    <row r="2657">
      <c r="E2657" s="13" t="n"/>
    </row>
    <row r="2658">
      <c r="E2658" s="13" t="n"/>
    </row>
    <row r="2659">
      <c r="E2659" s="13" t="n"/>
    </row>
    <row r="2660">
      <c r="E2660" s="13" t="n"/>
    </row>
    <row r="2661">
      <c r="E2661" s="13" t="n"/>
    </row>
    <row r="2662">
      <c r="E2662" s="13" t="n"/>
    </row>
    <row r="2663">
      <c r="E2663" s="13" t="n"/>
    </row>
    <row r="2664">
      <c r="E2664" s="13" t="n"/>
    </row>
    <row r="2665">
      <c r="E2665" s="13" t="n"/>
    </row>
    <row r="2666">
      <c r="E2666" s="13" t="n"/>
    </row>
    <row r="2667">
      <c r="E2667" s="13" t="n"/>
    </row>
    <row r="2668">
      <c r="E2668" s="13" t="n"/>
    </row>
    <row r="2669">
      <c r="E2669" s="13" t="n"/>
    </row>
    <row r="2670">
      <c r="E2670" s="13" t="n"/>
    </row>
    <row r="2671">
      <c r="E2671" s="13" t="n"/>
    </row>
    <row r="2672">
      <c r="E2672" s="13" t="n"/>
    </row>
    <row r="2673">
      <c r="E2673" s="13" t="n"/>
    </row>
    <row r="2674">
      <c r="E2674" s="13" t="n"/>
    </row>
    <row r="2675">
      <c r="E2675" s="13" t="n"/>
    </row>
    <row r="2676">
      <c r="E2676" s="13" t="n"/>
    </row>
    <row r="2677">
      <c r="E2677" s="13" t="n"/>
    </row>
    <row r="2678">
      <c r="E2678" s="13" t="n"/>
    </row>
    <row r="2679">
      <c r="E2679" s="13" t="n"/>
    </row>
    <row r="2680">
      <c r="E2680" s="13" t="n"/>
    </row>
    <row r="2681">
      <c r="E2681" s="13" t="n"/>
    </row>
    <row r="2682">
      <c r="E2682" s="13" t="n"/>
    </row>
    <row r="2683">
      <c r="E2683" s="13" t="n"/>
    </row>
    <row r="2684">
      <c r="E2684" s="13" t="n"/>
    </row>
    <row r="2685">
      <c r="E2685" s="13" t="n"/>
    </row>
    <row r="2686">
      <c r="E2686" s="13" t="n"/>
    </row>
    <row r="2687">
      <c r="E2687" s="13" t="n"/>
    </row>
    <row r="2688">
      <c r="E2688" s="13" t="n"/>
    </row>
    <row r="2689">
      <c r="E2689" s="13" t="n"/>
    </row>
    <row r="2690">
      <c r="E2690" s="13" t="n"/>
    </row>
    <row r="2691">
      <c r="E2691" s="13" t="n"/>
    </row>
    <row r="2692">
      <c r="E2692" s="13" t="n"/>
    </row>
    <row r="2693">
      <c r="E2693" s="13" t="n"/>
    </row>
    <row r="2694">
      <c r="E2694" s="13" t="n"/>
    </row>
    <row r="2695">
      <c r="E2695" s="13" t="n"/>
    </row>
    <row r="2696">
      <c r="E2696" s="13" t="n"/>
    </row>
    <row r="2697">
      <c r="E2697" s="13" t="n"/>
    </row>
    <row r="2698">
      <c r="E2698" s="13" t="n"/>
    </row>
    <row r="2699">
      <c r="E2699" s="13" t="n"/>
    </row>
    <row r="2700">
      <c r="E2700" s="13" t="n"/>
    </row>
    <row r="2701">
      <c r="E2701" s="13" t="n"/>
    </row>
    <row r="2702">
      <c r="E2702" s="13" t="n"/>
    </row>
    <row r="2703">
      <c r="E2703" s="13" t="n"/>
    </row>
    <row r="2704">
      <c r="E2704" s="13" t="n"/>
    </row>
    <row r="2705">
      <c r="E2705" s="13" t="n"/>
    </row>
    <row r="2706">
      <c r="E2706" s="13" t="n"/>
    </row>
    <row r="2707">
      <c r="E2707" s="13" t="n"/>
    </row>
    <row r="2708">
      <c r="E2708" s="13" t="n"/>
    </row>
    <row r="2709">
      <c r="E2709" s="13" t="n"/>
    </row>
    <row r="2710">
      <c r="E2710" s="13" t="n"/>
    </row>
    <row r="2711">
      <c r="E2711" s="13" t="n"/>
    </row>
    <row r="2712">
      <c r="E2712" s="13" t="n"/>
    </row>
    <row r="2713">
      <c r="E2713" s="13" t="n"/>
    </row>
    <row r="2714">
      <c r="E2714" s="13" t="n"/>
    </row>
    <row r="2715">
      <c r="E2715" s="13" t="n"/>
    </row>
    <row r="2716">
      <c r="E2716" s="13" t="n"/>
    </row>
    <row r="2717">
      <c r="E2717" s="13" t="n"/>
    </row>
    <row r="2718">
      <c r="E2718" s="13" t="n"/>
    </row>
    <row r="2719">
      <c r="E2719" s="13" t="n"/>
    </row>
    <row r="2720">
      <c r="E2720" s="13" t="n"/>
    </row>
    <row r="2721">
      <c r="E2721" s="13" t="n"/>
    </row>
    <row r="2722">
      <c r="E2722" s="13" t="n"/>
    </row>
    <row r="2723">
      <c r="E2723" s="13" t="n"/>
    </row>
    <row r="2724">
      <c r="E2724" s="13" t="n"/>
    </row>
    <row r="2725">
      <c r="E2725" s="13" t="n"/>
    </row>
    <row r="2726">
      <c r="E2726" s="13" t="n"/>
    </row>
    <row r="2727">
      <c r="E2727" s="13" t="n"/>
    </row>
    <row r="2728">
      <c r="E2728" s="13" t="n"/>
    </row>
    <row r="2729">
      <c r="E2729" s="13" t="n"/>
    </row>
    <row r="2730">
      <c r="E2730" s="13" t="n"/>
    </row>
    <row r="2731">
      <c r="E2731" s="13" t="n"/>
    </row>
    <row r="2732">
      <c r="E2732" s="13" t="n"/>
    </row>
    <row r="2733">
      <c r="E2733" s="13" t="n"/>
    </row>
    <row r="2734">
      <c r="E2734" s="13" t="n"/>
    </row>
    <row r="2735">
      <c r="E2735" s="13" t="n"/>
    </row>
    <row r="2736">
      <c r="E2736" s="13" t="n"/>
    </row>
    <row r="2737">
      <c r="E2737" s="13" t="n"/>
    </row>
    <row r="2738">
      <c r="E2738" s="13" t="n"/>
    </row>
    <row r="2739">
      <c r="E2739" s="13" t="n"/>
    </row>
    <row r="2740">
      <c r="E2740" s="13" t="n"/>
    </row>
    <row r="2741">
      <c r="E2741" s="13" t="n"/>
    </row>
    <row r="2742">
      <c r="E2742" s="13" t="n"/>
    </row>
    <row r="2743">
      <c r="E2743" s="13" t="n"/>
    </row>
    <row r="2744">
      <c r="E2744" s="13" t="n"/>
    </row>
    <row r="2745">
      <c r="E2745" s="13" t="n"/>
    </row>
    <row r="2746">
      <c r="E2746" s="13" t="n"/>
    </row>
    <row r="2747">
      <c r="E2747" s="13" t="n"/>
    </row>
    <row r="2748">
      <c r="E2748" s="13" t="n"/>
    </row>
    <row r="2749">
      <c r="E2749" s="13" t="n"/>
    </row>
    <row r="2750">
      <c r="E2750" s="13" t="n"/>
    </row>
    <row r="2751">
      <c r="E2751" s="13" t="n"/>
    </row>
    <row r="2752">
      <c r="E2752" s="13" t="n"/>
    </row>
    <row r="2753">
      <c r="E2753" s="13" t="n"/>
    </row>
    <row r="2754">
      <c r="E2754" s="13" t="n"/>
    </row>
    <row r="2755">
      <c r="E2755" s="13" t="n"/>
    </row>
    <row r="2756">
      <c r="E2756" s="13" t="n"/>
    </row>
    <row r="2757">
      <c r="E2757" s="13" t="n"/>
    </row>
    <row r="2758">
      <c r="E2758" s="13" t="n"/>
    </row>
    <row r="2759">
      <c r="E2759" s="13" t="n"/>
    </row>
    <row r="2760">
      <c r="E2760" s="13" t="n"/>
    </row>
    <row r="2761">
      <c r="E2761" s="13" t="n"/>
    </row>
    <row r="2762">
      <c r="E2762" s="13" t="n"/>
    </row>
    <row r="2763">
      <c r="E2763" s="13" t="n"/>
    </row>
    <row r="2764">
      <c r="E2764" s="13" t="n"/>
    </row>
    <row r="2765">
      <c r="E2765" s="13" t="n"/>
    </row>
    <row r="2766">
      <c r="E2766" s="13" t="n"/>
    </row>
    <row r="2767">
      <c r="E2767" s="13" t="n"/>
    </row>
    <row r="2768">
      <c r="E2768" s="13" t="n"/>
    </row>
    <row r="2769">
      <c r="E2769" s="13" t="n"/>
    </row>
    <row r="2770">
      <c r="E2770" s="13" t="n"/>
    </row>
    <row r="2771">
      <c r="E2771" s="13" t="n"/>
    </row>
    <row r="2772">
      <c r="E2772" s="13" t="n"/>
    </row>
    <row r="2773">
      <c r="E2773" s="13" t="n"/>
    </row>
    <row r="2774">
      <c r="E2774" s="13" t="n"/>
    </row>
    <row r="2775">
      <c r="E2775" s="13" t="n"/>
    </row>
    <row r="2776">
      <c r="E2776" s="13" t="n"/>
    </row>
    <row r="2777">
      <c r="E2777" s="13" t="n"/>
    </row>
    <row r="2778">
      <c r="E2778" s="13" t="n"/>
    </row>
    <row r="2779">
      <c r="E2779" s="13" t="n"/>
    </row>
    <row r="2780">
      <c r="E2780" s="13" t="n"/>
    </row>
    <row r="2781">
      <c r="E2781" s="13" t="n"/>
    </row>
    <row r="2782">
      <c r="E2782" s="13" t="n"/>
    </row>
    <row r="2783">
      <c r="E2783" s="13" t="n"/>
    </row>
    <row r="2784">
      <c r="E2784" s="13" t="n"/>
    </row>
    <row r="2785">
      <c r="E2785" s="13" t="n"/>
    </row>
    <row r="2786">
      <c r="E2786" s="13" t="n"/>
    </row>
    <row r="2787">
      <c r="E2787" s="13" t="n"/>
    </row>
    <row r="2788">
      <c r="E2788" s="13" t="n"/>
    </row>
    <row r="2789">
      <c r="E2789" s="13" t="n"/>
    </row>
    <row r="2790">
      <c r="E2790" s="13" t="n"/>
    </row>
    <row r="2791">
      <c r="E2791" s="13" t="n"/>
    </row>
    <row r="2792">
      <c r="E2792" s="13" t="n"/>
    </row>
    <row r="2793">
      <c r="E2793" s="13" t="n"/>
    </row>
    <row r="2794">
      <c r="E2794" s="13" t="n"/>
    </row>
    <row r="2795">
      <c r="E2795" s="13" t="n"/>
    </row>
    <row r="2796">
      <c r="E2796" s="13" t="n"/>
    </row>
    <row r="2797">
      <c r="E2797" s="13" t="n"/>
    </row>
    <row r="2798">
      <c r="E2798" s="13" t="n"/>
    </row>
    <row r="2799">
      <c r="E2799" s="13" t="n"/>
    </row>
    <row r="2800">
      <c r="E2800" s="13" t="n"/>
    </row>
    <row r="2801">
      <c r="E2801" s="13" t="n"/>
    </row>
    <row r="2802">
      <c r="E2802" s="13" t="n"/>
    </row>
    <row r="2803">
      <c r="E2803" s="13" t="n"/>
    </row>
    <row r="2804">
      <c r="E2804" s="13" t="n"/>
    </row>
    <row r="2805">
      <c r="E2805" s="13" t="n"/>
    </row>
    <row r="2806">
      <c r="E2806" s="13" t="n"/>
    </row>
    <row r="2807">
      <c r="E2807" s="13" t="n"/>
    </row>
    <row r="2808">
      <c r="E2808" s="13" t="n"/>
    </row>
    <row r="2809">
      <c r="E2809" s="13" t="n"/>
    </row>
    <row r="2810">
      <c r="E2810" s="13" t="n"/>
    </row>
    <row r="2811">
      <c r="E2811" s="13" t="n"/>
    </row>
    <row r="2812">
      <c r="E2812" s="13" t="n"/>
    </row>
    <row r="2813">
      <c r="E2813" s="13" t="n"/>
    </row>
    <row r="2814">
      <c r="E2814" s="13" t="n"/>
    </row>
    <row r="2815">
      <c r="E2815" s="13" t="n"/>
    </row>
    <row r="2816">
      <c r="E2816" s="13" t="n"/>
    </row>
    <row r="2817">
      <c r="E2817" s="13" t="n"/>
    </row>
    <row r="2818">
      <c r="E2818" s="13" t="n"/>
    </row>
    <row r="2819">
      <c r="E2819" s="13" t="n"/>
    </row>
    <row r="2820">
      <c r="E2820" s="13" t="n"/>
    </row>
    <row r="2821">
      <c r="E2821" s="13" t="n"/>
    </row>
    <row r="2822">
      <c r="E2822" s="13" t="n"/>
    </row>
    <row r="2823">
      <c r="E2823" s="13" t="n"/>
    </row>
    <row r="2824">
      <c r="E2824" s="13" t="n"/>
    </row>
    <row r="2825">
      <c r="E2825" s="13" t="n"/>
    </row>
    <row r="2826">
      <c r="E2826" s="13" t="n"/>
    </row>
    <row r="2827">
      <c r="E2827" s="13" t="n"/>
    </row>
    <row r="2828">
      <c r="E2828" s="13" t="n"/>
    </row>
    <row r="2829">
      <c r="E2829" s="13" t="n"/>
    </row>
    <row r="2830">
      <c r="E2830" s="13" t="n"/>
    </row>
    <row r="2831">
      <c r="E2831" s="13" t="n"/>
    </row>
    <row r="2832">
      <c r="E2832" s="13" t="n"/>
    </row>
    <row r="2833">
      <c r="E2833" s="13" t="n"/>
    </row>
    <row r="2834">
      <c r="E2834" s="13" t="n"/>
    </row>
    <row r="2835">
      <c r="E2835" s="13" t="n"/>
    </row>
    <row r="2836">
      <c r="E2836" s="13" t="n"/>
    </row>
    <row r="2837">
      <c r="E2837" s="13" t="n"/>
    </row>
    <row r="2838">
      <c r="E2838" s="13" t="n"/>
    </row>
    <row r="2839">
      <c r="E2839" s="13" t="n"/>
    </row>
    <row r="2840">
      <c r="E2840" s="13" t="n"/>
    </row>
    <row r="2841">
      <c r="E2841" s="13" t="n"/>
    </row>
    <row r="2842">
      <c r="E2842" s="13" t="n"/>
    </row>
    <row r="2843">
      <c r="E2843" s="13" t="n"/>
    </row>
    <row r="2844">
      <c r="E2844" s="13" t="n"/>
    </row>
    <row r="2845">
      <c r="E2845" s="13" t="n"/>
    </row>
    <row r="2846">
      <c r="E2846" s="13" t="n"/>
    </row>
    <row r="2847">
      <c r="E2847" s="13" t="n"/>
    </row>
    <row r="2848">
      <c r="E2848" s="13" t="n"/>
    </row>
    <row r="2849">
      <c r="E2849" s="13" t="n"/>
    </row>
    <row r="2850">
      <c r="E2850" s="13" t="n"/>
    </row>
    <row r="2851">
      <c r="E2851" s="13" t="n"/>
    </row>
    <row r="2852">
      <c r="E2852" s="13" t="n"/>
    </row>
    <row r="2853">
      <c r="E2853" s="13" t="n"/>
    </row>
    <row r="2854">
      <c r="E2854" s="13" t="n"/>
    </row>
    <row r="2855">
      <c r="E2855" s="13" t="n"/>
    </row>
    <row r="2856">
      <c r="E2856" s="13" t="n"/>
    </row>
    <row r="2857">
      <c r="E2857" s="13" t="n"/>
    </row>
    <row r="2858">
      <c r="E2858" s="13" t="n"/>
    </row>
    <row r="2859">
      <c r="E2859" s="13" t="n"/>
    </row>
    <row r="2860">
      <c r="E2860" s="13" t="n"/>
    </row>
    <row r="2861">
      <c r="E2861" s="13" t="n"/>
    </row>
    <row r="2862">
      <c r="E2862" s="13" t="n"/>
    </row>
    <row r="2863">
      <c r="E2863" s="13" t="n"/>
    </row>
    <row r="2864">
      <c r="E2864" s="13" t="n"/>
    </row>
    <row r="2865">
      <c r="E2865" s="13" t="n"/>
    </row>
    <row r="2866">
      <c r="E2866" s="13" t="n"/>
    </row>
    <row r="2867">
      <c r="E2867" s="13" t="n"/>
    </row>
    <row r="2868">
      <c r="E2868" s="13" t="n"/>
    </row>
    <row r="2869">
      <c r="E2869" s="13" t="n"/>
    </row>
    <row r="2870">
      <c r="E2870" s="13" t="n"/>
    </row>
    <row r="2871">
      <c r="E2871" s="13" t="n"/>
    </row>
    <row r="2872">
      <c r="E2872" s="13" t="n"/>
    </row>
    <row r="2873">
      <c r="E2873" s="13" t="n"/>
    </row>
    <row r="2874">
      <c r="E2874" s="13" t="n"/>
    </row>
    <row r="2875">
      <c r="E2875" s="13" t="n"/>
    </row>
    <row r="2876">
      <c r="E2876" s="13" t="n"/>
    </row>
    <row r="2877">
      <c r="E2877" s="13" t="n"/>
    </row>
    <row r="2878">
      <c r="E2878" s="13" t="n"/>
    </row>
    <row r="2879">
      <c r="E2879" s="13" t="n"/>
    </row>
    <row r="2880">
      <c r="E2880" s="13" t="n"/>
    </row>
    <row r="2881">
      <c r="E2881" s="13" t="n"/>
    </row>
    <row r="2882">
      <c r="E2882" s="13" t="n"/>
    </row>
    <row r="2883">
      <c r="E2883" s="13" t="n"/>
    </row>
    <row r="2884">
      <c r="E2884" s="13" t="n"/>
    </row>
    <row r="2885">
      <c r="E2885" s="13" t="n"/>
    </row>
    <row r="2886">
      <c r="E2886" s="13" t="n"/>
    </row>
    <row r="2887">
      <c r="E2887" s="13" t="n"/>
    </row>
    <row r="2888">
      <c r="E2888" s="13" t="n"/>
    </row>
    <row r="2889">
      <c r="E2889" s="13" t="n"/>
    </row>
    <row r="2890">
      <c r="E2890" s="13" t="n"/>
    </row>
    <row r="2891">
      <c r="E2891" s="13" t="n"/>
    </row>
    <row r="2892">
      <c r="E2892" s="13" t="n"/>
    </row>
    <row r="2893">
      <c r="E2893" s="13" t="n"/>
    </row>
    <row r="2894">
      <c r="E2894" s="13" t="n"/>
    </row>
    <row r="2895">
      <c r="E2895" s="13" t="n"/>
    </row>
    <row r="2896">
      <c r="E2896" s="13" t="n"/>
    </row>
    <row r="2897">
      <c r="E2897" s="13" t="n"/>
    </row>
    <row r="2898">
      <c r="E2898" s="13" t="n"/>
    </row>
    <row r="2899">
      <c r="E2899" s="13" t="n"/>
    </row>
    <row r="2900">
      <c r="E2900" s="13" t="n"/>
    </row>
    <row r="2901">
      <c r="E2901" s="13" t="n"/>
    </row>
    <row r="2902">
      <c r="E2902" s="13" t="n"/>
    </row>
    <row r="2903">
      <c r="E2903" s="13" t="n"/>
    </row>
    <row r="2904">
      <c r="E2904" s="13" t="n"/>
    </row>
    <row r="2905">
      <c r="E2905" s="13" t="n"/>
    </row>
    <row r="2906">
      <c r="E2906" s="13" t="n"/>
    </row>
    <row r="2907">
      <c r="E2907" s="13" t="n"/>
    </row>
    <row r="2908">
      <c r="E2908" s="13" t="n"/>
    </row>
    <row r="2909">
      <c r="E2909" s="13" t="n"/>
    </row>
    <row r="2910">
      <c r="E2910" s="13" t="n"/>
    </row>
    <row r="2911">
      <c r="E2911" s="13" t="n"/>
    </row>
    <row r="2912">
      <c r="E2912" s="13" t="n"/>
    </row>
    <row r="2913">
      <c r="E2913" s="13" t="n"/>
    </row>
    <row r="2914">
      <c r="E2914" s="13" t="n"/>
    </row>
    <row r="2915">
      <c r="E2915" s="13" t="n"/>
    </row>
    <row r="2916">
      <c r="E2916" s="13" t="n"/>
    </row>
    <row r="2917">
      <c r="E2917" s="13" t="n"/>
    </row>
    <row r="2918">
      <c r="E2918" s="13" t="n"/>
    </row>
    <row r="2919">
      <c r="E2919" s="13" t="n"/>
    </row>
    <row r="2920">
      <c r="E2920" s="13" t="n"/>
    </row>
    <row r="2921">
      <c r="E2921" s="13" t="n"/>
    </row>
    <row r="2922">
      <c r="E2922" s="13" t="n"/>
    </row>
    <row r="2923">
      <c r="E2923" s="13" t="n"/>
    </row>
    <row r="2924">
      <c r="E2924" s="13" t="n"/>
    </row>
    <row r="2925">
      <c r="E2925" s="13" t="n"/>
    </row>
    <row r="2926">
      <c r="E2926" s="13" t="n"/>
    </row>
    <row r="2927">
      <c r="E2927" s="13" t="n"/>
    </row>
    <row r="2928">
      <c r="E2928" s="13" t="n"/>
    </row>
    <row r="2929">
      <c r="E2929" s="13" t="n"/>
    </row>
    <row r="2930">
      <c r="E2930" s="13" t="n"/>
    </row>
    <row r="2931">
      <c r="E2931" s="13" t="n"/>
    </row>
    <row r="2932">
      <c r="E2932" s="13" t="n"/>
    </row>
    <row r="2933">
      <c r="E2933" s="13" t="n"/>
    </row>
    <row r="2934">
      <c r="E2934" s="13" t="n"/>
    </row>
    <row r="2935">
      <c r="E2935" s="13" t="n"/>
    </row>
    <row r="2936">
      <c r="E2936" s="13" t="n"/>
    </row>
    <row r="2937">
      <c r="E2937" s="13" t="n"/>
    </row>
    <row r="2938">
      <c r="E2938" s="13" t="n"/>
    </row>
    <row r="2939">
      <c r="E2939" s="13" t="n"/>
    </row>
    <row r="2940">
      <c r="E2940" s="13" t="n"/>
    </row>
    <row r="2941">
      <c r="E2941" s="13" t="n"/>
    </row>
    <row r="2942">
      <c r="E2942" s="13" t="n"/>
    </row>
    <row r="2943">
      <c r="E2943" s="13" t="n"/>
    </row>
    <row r="2944">
      <c r="E2944" s="13" t="n"/>
    </row>
    <row r="2945">
      <c r="E2945" s="13" t="n"/>
    </row>
    <row r="2946">
      <c r="E2946" s="13" t="n"/>
    </row>
    <row r="2947">
      <c r="E2947" s="13" t="n"/>
    </row>
    <row r="2948">
      <c r="E2948" s="13" t="n"/>
    </row>
    <row r="2949">
      <c r="E2949" s="13" t="n"/>
    </row>
    <row r="2950">
      <c r="E2950" s="13" t="n"/>
    </row>
    <row r="2951">
      <c r="E2951" s="13" t="n"/>
    </row>
    <row r="2952">
      <c r="E2952" s="13" t="n"/>
    </row>
    <row r="2953">
      <c r="E2953" s="13" t="n"/>
    </row>
    <row r="2954">
      <c r="E2954" s="13" t="n"/>
    </row>
    <row r="2955">
      <c r="E2955" s="13" t="n"/>
    </row>
    <row r="2956">
      <c r="E2956" s="13" t="n"/>
    </row>
    <row r="2957">
      <c r="E2957" s="13" t="n"/>
    </row>
    <row r="2958">
      <c r="E2958" s="13" t="n"/>
    </row>
    <row r="2959">
      <c r="E2959" s="13" t="n"/>
    </row>
    <row r="2960">
      <c r="E2960" s="13" t="n"/>
    </row>
    <row r="2961">
      <c r="E2961" s="13" t="n"/>
    </row>
    <row r="2962">
      <c r="E2962" s="13" t="n"/>
    </row>
    <row r="2963">
      <c r="E2963" s="13" t="n"/>
    </row>
    <row r="2964">
      <c r="E2964" s="13" t="n"/>
    </row>
    <row r="2965">
      <c r="E2965" s="13" t="n"/>
    </row>
    <row r="2966">
      <c r="E2966" s="13" t="n"/>
    </row>
    <row r="2967">
      <c r="E2967" s="13" t="n"/>
    </row>
    <row r="2968">
      <c r="E2968" s="13" t="n"/>
    </row>
    <row r="2969">
      <c r="E2969" s="13" t="n"/>
    </row>
    <row r="2970">
      <c r="E2970" s="13" t="n"/>
    </row>
    <row r="2971">
      <c r="E2971" s="13" t="n"/>
    </row>
    <row r="2972">
      <c r="E2972" s="13" t="n"/>
    </row>
    <row r="2973">
      <c r="E2973" s="13" t="n"/>
    </row>
    <row r="2974">
      <c r="E2974" s="13" t="n"/>
    </row>
    <row r="2975">
      <c r="E2975" s="13" t="n"/>
    </row>
    <row r="2976">
      <c r="E2976" s="13" t="n"/>
    </row>
    <row r="2977">
      <c r="E2977" s="13" t="n"/>
    </row>
    <row r="2978">
      <c r="E2978" s="13" t="n"/>
    </row>
    <row r="2979">
      <c r="E2979" s="13" t="n"/>
    </row>
    <row r="2980">
      <c r="E2980" s="13" t="n"/>
    </row>
    <row r="2981">
      <c r="E2981" s="13" t="n"/>
    </row>
    <row r="2982">
      <c r="E2982" s="13" t="n"/>
    </row>
    <row r="2983">
      <c r="E2983" s="13" t="n"/>
    </row>
    <row r="2984">
      <c r="E2984" s="13" t="n"/>
    </row>
    <row r="2985">
      <c r="E2985" s="13" t="n"/>
    </row>
    <row r="2986">
      <c r="E2986" s="13" t="n"/>
    </row>
    <row r="2987">
      <c r="E2987" s="13" t="n"/>
    </row>
    <row r="2988">
      <c r="E2988" s="13" t="n"/>
    </row>
    <row r="2989">
      <c r="E2989" s="13" t="n"/>
    </row>
    <row r="2990">
      <c r="E2990" s="13" t="n"/>
    </row>
    <row r="2991">
      <c r="E2991" s="13" t="n"/>
    </row>
    <row r="2992">
      <c r="E2992" s="13" t="n"/>
    </row>
    <row r="2993">
      <c r="E2993" s="13" t="n"/>
    </row>
    <row r="2994">
      <c r="E2994" s="13" t="n"/>
    </row>
    <row r="2995">
      <c r="E2995" s="13" t="n"/>
    </row>
    <row r="2996">
      <c r="E2996" s="13" t="n"/>
    </row>
    <row r="2997">
      <c r="E2997" s="13" t="n"/>
    </row>
    <row r="2998">
      <c r="E2998" s="13" t="n"/>
    </row>
    <row r="2999">
      <c r="E2999" s="13" t="n"/>
    </row>
    <row r="3000">
      <c r="E3000" s="13" t="n"/>
    </row>
    <row r="3001">
      <c r="E3001" s="13" t="n"/>
    </row>
    <row r="3002">
      <c r="E3002" s="13" t="n"/>
    </row>
    <row r="3003">
      <c r="E3003" s="13" t="n"/>
    </row>
    <row r="3004">
      <c r="E3004" s="13" t="n"/>
    </row>
    <row r="3005">
      <c r="E3005" s="13" t="n"/>
    </row>
    <row r="3006">
      <c r="E3006" s="13" t="n"/>
    </row>
    <row r="3007">
      <c r="E3007" s="13" t="n"/>
    </row>
    <row r="3008">
      <c r="E3008" s="13" t="n"/>
    </row>
    <row r="3009">
      <c r="E3009" s="13" t="n"/>
    </row>
    <row r="3010">
      <c r="E3010" s="13" t="n"/>
    </row>
    <row r="3011">
      <c r="E3011" s="13" t="n"/>
    </row>
    <row r="3012">
      <c r="E3012" s="13" t="n"/>
    </row>
    <row r="3013">
      <c r="E3013" s="13" t="n"/>
    </row>
    <row r="3014">
      <c r="E3014" s="13" t="n"/>
    </row>
    <row r="3015">
      <c r="E3015" s="13" t="n"/>
    </row>
    <row r="3016">
      <c r="E3016" s="13" t="n"/>
    </row>
    <row r="3017">
      <c r="E3017" s="13" t="n"/>
    </row>
    <row r="3018">
      <c r="E3018" s="13" t="n"/>
    </row>
    <row r="3019">
      <c r="E3019" s="13" t="n"/>
    </row>
    <row r="3020">
      <c r="E3020" s="13" t="n"/>
    </row>
    <row r="3021">
      <c r="E3021" s="13" t="n"/>
    </row>
    <row r="3022">
      <c r="E3022" s="13" t="n"/>
    </row>
    <row r="3023">
      <c r="E3023" s="13" t="n"/>
    </row>
    <row r="3024">
      <c r="E3024" s="13" t="n"/>
    </row>
    <row r="3025">
      <c r="E3025" s="13" t="n"/>
    </row>
    <row r="3026">
      <c r="E3026" s="13" t="n"/>
    </row>
    <row r="3027">
      <c r="E3027" s="13" t="n"/>
    </row>
    <row r="3028">
      <c r="E3028" s="13" t="n"/>
    </row>
    <row r="3029">
      <c r="E3029" s="13" t="n"/>
    </row>
    <row r="3030">
      <c r="E3030" s="13" t="n"/>
    </row>
    <row r="3031">
      <c r="E3031" s="13" t="n"/>
    </row>
    <row r="3032">
      <c r="E3032" s="13" t="n"/>
    </row>
    <row r="3033">
      <c r="E3033" s="13" t="n"/>
    </row>
    <row r="3034">
      <c r="E3034" s="13" t="n"/>
    </row>
    <row r="3035">
      <c r="E3035" s="13" t="n"/>
    </row>
    <row r="3036">
      <c r="E3036" s="13" t="n"/>
    </row>
    <row r="3037">
      <c r="E3037" s="13" t="n"/>
    </row>
    <row r="3038">
      <c r="E3038" s="13" t="n"/>
    </row>
    <row r="3039">
      <c r="E3039" s="13" t="n"/>
    </row>
    <row r="3040">
      <c r="E3040" s="13" t="n"/>
    </row>
    <row r="3041">
      <c r="E3041" s="13" t="n"/>
    </row>
    <row r="3042">
      <c r="E3042" s="13" t="n"/>
    </row>
    <row r="3043">
      <c r="E3043" s="13" t="n"/>
    </row>
    <row r="3044">
      <c r="E3044" s="13" t="n"/>
    </row>
    <row r="3045">
      <c r="E3045" s="13" t="n"/>
    </row>
    <row r="3046">
      <c r="E3046" s="13" t="n"/>
    </row>
    <row r="3047">
      <c r="E3047" s="13" t="n"/>
    </row>
    <row r="3048">
      <c r="E3048" s="13" t="n"/>
    </row>
    <row r="3049">
      <c r="E3049" s="13" t="n"/>
    </row>
    <row r="3050">
      <c r="E3050" s="13" t="n"/>
    </row>
    <row r="3051">
      <c r="E3051" s="13" t="n"/>
    </row>
    <row r="3052">
      <c r="E3052" s="13" t="n"/>
    </row>
    <row r="3053">
      <c r="E3053" s="13" t="n"/>
    </row>
    <row r="3054">
      <c r="E3054" s="13" t="n"/>
    </row>
    <row r="3055">
      <c r="E3055" s="13" t="n"/>
    </row>
    <row r="3056">
      <c r="E3056" s="13" t="n"/>
    </row>
    <row r="3057">
      <c r="E3057" s="13" t="n"/>
    </row>
    <row r="3058">
      <c r="E3058" s="13" t="n"/>
    </row>
    <row r="3059">
      <c r="E3059" s="13" t="n"/>
    </row>
    <row r="3060">
      <c r="E3060" s="13" t="n"/>
    </row>
    <row r="3061">
      <c r="E3061" s="13" t="n"/>
    </row>
    <row r="3062">
      <c r="E3062" s="13" t="n"/>
    </row>
    <row r="3063">
      <c r="E3063" s="13" t="n"/>
    </row>
    <row r="3064">
      <c r="E3064" s="13" t="n"/>
    </row>
    <row r="3065">
      <c r="E3065" s="13" t="n"/>
    </row>
    <row r="3066">
      <c r="E3066" s="13" t="n"/>
    </row>
    <row r="3067">
      <c r="E3067" s="13" t="n"/>
    </row>
    <row r="3068">
      <c r="E3068" s="13" t="n"/>
    </row>
    <row r="3069">
      <c r="E3069" s="13" t="n"/>
    </row>
    <row r="3070">
      <c r="E3070" s="13" t="n"/>
    </row>
    <row r="3071">
      <c r="E3071" s="13" t="n"/>
    </row>
    <row r="3072">
      <c r="E3072" s="13" t="n"/>
    </row>
    <row r="3073">
      <c r="E3073" s="13" t="n"/>
    </row>
    <row r="3074">
      <c r="E3074" s="13" t="n"/>
    </row>
    <row r="3075">
      <c r="E3075" s="13" t="n"/>
    </row>
    <row r="3076">
      <c r="E3076" s="13" t="n"/>
    </row>
    <row r="3077">
      <c r="E3077" s="13" t="n"/>
    </row>
    <row r="3078">
      <c r="E3078" s="13" t="n"/>
    </row>
    <row r="3079">
      <c r="E3079" s="13" t="n"/>
    </row>
    <row r="3080">
      <c r="E3080" s="13" t="n"/>
    </row>
    <row r="3081">
      <c r="E3081" s="13" t="n"/>
    </row>
    <row r="3082">
      <c r="E3082" s="13" t="n"/>
    </row>
    <row r="3083">
      <c r="E3083" s="13" t="n"/>
    </row>
    <row r="3084">
      <c r="E3084" s="13" t="n"/>
    </row>
    <row r="3085">
      <c r="E3085" s="13" t="n"/>
    </row>
    <row r="3086">
      <c r="E3086" s="13" t="n"/>
    </row>
    <row r="3087">
      <c r="E3087" s="13" t="n"/>
    </row>
    <row r="3088">
      <c r="E3088" s="13" t="n"/>
    </row>
    <row r="3089">
      <c r="E3089" s="13" t="n"/>
    </row>
    <row r="3090">
      <c r="E3090" s="13" t="n"/>
    </row>
    <row r="3091">
      <c r="E3091" s="13" t="n"/>
    </row>
    <row r="3092">
      <c r="E3092" s="13" t="n"/>
    </row>
    <row r="3093">
      <c r="E3093" s="13" t="n"/>
    </row>
    <row r="3094">
      <c r="E3094" s="13" t="n"/>
    </row>
    <row r="3095">
      <c r="E3095" s="13" t="n"/>
    </row>
    <row r="3096">
      <c r="E3096" s="13" t="n"/>
    </row>
    <row r="3097">
      <c r="E3097" s="13" t="n"/>
    </row>
    <row r="3098">
      <c r="E3098" s="13" t="n"/>
    </row>
    <row r="3099">
      <c r="E3099" s="13" t="n"/>
    </row>
    <row r="3100">
      <c r="E3100" s="13" t="n"/>
    </row>
    <row r="3101">
      <c r="E3101" s="13" t="n"/>
    </row>
    <row r="3102">
      <c r="E3102" s="13" t="n"/>
    </row>
    <row r="3103">
      <c r="E3103" s="13" t="n"/>
    </row>
    <row r="3104">
      <c r="E3104" s="13" t="n"/>
    </row>
    <row r="3105">
      <c r="E3105" s="13" t="n"/>
    </row>
    <row r="3106">
      <c r="E3106" s="13" t="n"/>
    </row>
    <row r="3107">
      <c r="E3107" s="13" t="n"/>
    </row>
    <row r="3108">
      <c r="E3108" s="13" t="n"/>
    </row>
    <row r="3109">
      <c r="E3109" s="13" t="n"/>
    </row>
    <row r="3110">
      <c r="E3110" s="13" t="n"/>
    </row>
    <row r="3111">
      <c r="E3111" s="13" t="n"/>
    </row>
    <row r="3112">
      <c r="E3112" s="13" t="n"/>
    </row>
    <row r="3113">
      <c r="E3113" s="13" t="n"/>
    </row>
    <row r="3114">
      <c r="E3114" s="13" t="n"/>
    </row>
    <row r="3115">
      <c r="E3115" s="13" t="n"/>
    </row>
    <row r="3116">
      <c r="E3116" s="13" t="n"/>
    </row>
    <row r="3117">
      <c r="E3117" s="13" t="n"/>
    </row>
    <row r="3118">
      <c r="E3118" s="13" t="n"/>
    </row>
    <row r="3119">
      <c r="E3119" s="13" t="n"/>
    </row>
    <row r="3120">
      <c r="E3120" s="13" t="n"/>
    </row>
    <row r="3121">
      <c r="E3121" s="13" t="n"/>
    </row>
    <row r="3122">
      <c r="E3122" s="13" t="n"/>
    </row>
    <row r="3123">
      <c r="E3123" s="13" t="n"/>
    </row>
    <row r="3124">
      <c r="E3124" s="13" t="n"/>
    </row>
    <row r="3125">
      <c r="E3125" s="13" t="n"/>
    </row>
    <row r="3126">
      <c r="E3126" s="13" t="n"/>
    </row>
    <row r="3127">
      <c r="E3127" s="13" t="n"/>
    </row>
    <row r="3128">
      <c r="E3128" s="13" t="n"/>
    </row>
    <row r="3129">
      <c r="E3129" s="13" t="n"/>
    </row>
    <row r="3130">
      <c r="E3130" s="13" t="n"/>
    </row>
    <row r="3131">
      <c r="E3131" s="13" t="n"/>
    </row>
    <row r="3132">
      <c r="E3132" s="13" t="n"/>
    </row>
    <row r="3133">
      <c r="E3133" s="13" t="n"/>
    </row>
    <row r="3134">
      <c r="E3134" s="13" t="n"/>
    </row>
    <row r="3135">
      <c r="E3135" s="13" t="n"/>
    </row>
    <row r="3136">
      <c r="E3136" s="13" t="n"/>
    </row>
    <row r="3137">
      <c r="E3137" s="13" t="n"/>
    </row>
    <row r="3138">
      <c r="E3138" s="13" t="n"/>
    </row>
    <row r="3139">
      <c r="E3139" s="13" t="n"/>
    </row>
    <row r="3140">
      <c r="E3140" s="13" t="n"/>
    </row>
    <row r="3141">
      <c r="E3141" s="13" t="n"/>
    </row>
    <row r="3142">
      <c r="E3142" s="13" t="n"/>
    </row>
    <row r="3143">
      <c r="E3143" s="13" t="n"/>
    </row>
    <row r="3144">
      <c r="E3144" s="13" t="n"/>
    </row>
    <row r="3145">
      <c r="E3145" s="13" t="n"/>
    </row>
    <row r="3146">
      <c r="E3146" s="13" t="n"/>
    </row>
    <row r="3147">
      <c r="E3147" s="13" t="n"/>
    </row>
    <row r="3148">
      <c r="E3148" s="13" t="n"/>
    </row>
    <row r="3149">
      <c r="E3149" s="13" t="n"/>
    </row>
    <row r="3150">
      <c r="E3150" s="13" t="n"/>
    </row>
    <row r="3151">
      <c r="E3151" s="13" t="n"/>
    </row>
    <row r="3152">
      <c r="E3152" s="13" t="n"/>
    </row>
    <row r="3153">
      <c r="E3153" s="13" t="n"/>
    </row>
    <row r="3154">
      <c r="E3154" s="13" t="n"/>
    </row>
    <row r="3155">
      <c r="E3155" s="13" t="n"/>
    </row>
    <row r="3156">
      <c r="E3156" s="13" t="n"/>
    </row>
    <row r="3157">
      <c r="E3157" s="13" t="n"/>
    </row>
    <row r="3158">
      <c r="E3158" s="13" t="n"/>
    </row>
    <row r="3159">
      <c r="E3159" s="13" t="n"/>
    </row>
    <row r="3160">
      <c r="E3160" s="13" t="n"/>
    </row>
    <row r="3161">
      <c r="E3161" s="13" t="n"/>
    </row>
    <row r="3162">
      <c r="E3162" s="13" t="n"/>
    </row>
    <row r="3163">
      <c r="E3163" s="13" t="n"/>
    </row>
    <row r="3164">
      <c r="E3164" s="13" t="n"/>
    </row>
    <row r="3165">
      <c r="E3165" s="13" t="n"/>
    </row>
    <row r="3166">
      <c r="E3166" s="13" t="n"/>
    </row>
    <row r="3167">
      <c r="E3167" s="13" t="n"/>
    </row>
    <row r="3168">
      <c r="E3168" s="13" t="n"/>
    </row>
    <row r="3169">
      <c r="E3169" s="13" t="n"/>
    </row>
    <row r="3170">
      <c r="E3170" s="13" t="n"/>
    </row>
    <row r="3171">
      <c r="E3171" s="13" t="n"/>
    </row>
    <row r="3172">
      <c r="E3172" s="13" t="n"/>
    </row>
    <row r="3173">
      <c r="E3173" s="13" t="n"/>
    </row>
    <row r="3174">
      <c r="E3174" s="13" t="n"/>
    </row>
    <row r="3175">
      <c r="E3175" s="13" t="n"/>
    </row>
    <row r="3176">
      <c r="E3176" s="13" t="n"/>
    </row>
    <row r="3177">
      <c r="E3177" s="13" t="n"/>
    </row>
    <row r="3178">
      <c r="E3178" s="13" t="n"/>
    </row>
    <row r="3179">
      <c r="E3179" s="13" t="n"/>
    </row>
    <row r="3180">
      <c r="E3180" s="13" t="n"/>
    </row>
    <row r="3181">
      <c r="E3181" s="13" t="n"/>
    </row>
    <row r="3182">
      <c r="E3182" s="13" t="n"/>
    </row>
    <row r="3183">
      <c r="E3183" s="13" t="n"/>
    </row>
    <row r="3184">
      <c r="E3184" s="13" t="n"/>
    </row>
    <row r="3185">
      <c r="E3185" s="13" t="n"/>
    </row>
    <row r="3186">
      <c r="E3186" s="13" t="n"/>
    </row>
    <row r="3187">
      <c r="E3187" s="13" t="n"/>
    </row>
    <row r="3188">
      <c r="E3188" s="13" t="n"/>
    </row>
    <row r="3189">
      <c r="E3189" s="13" t="n"/>
    </row>
    <row r="3190">
      <c r="E3190" s="13" t="n"/>
    </row>
    <row r="3191">
      <c r="E3191" s="13" t="n"/>
    </row>
    <row r="3192">
      <c r="E3192" s="13" t="n"/>
    </row>
    <row r="3193">
      <c r="E3193" s="13" t="n"/>
    </row>
    <row r="3194">
      <c r="E3194" s="13" t="n"/>
    </row>
    <row r="3195">
      <c r="E3195" s="13" t="n"/>
    </row>
    <row r="3196">
      <c r="E3196" s="13" t="n"/>
    </row>
    <row r="3197">
      <c r="E3197" s="13" t="n"/>
    </row>
    <row r="3198">
      <c r="E3198" s="13" t="n"/>
    </row>
    <row r="3199">
      <c r="E3199" s="13" t="n"/>
    </row>
    <row r="3200">
      <c r="E3200" s="13" t="n"/>
    </row>
    <row r="3201">
      <c r="E3201" s="13" t="n"/>
    </row>
    <row r="3202">
      <c r="E3202" s="13" t="n"/>
    </row>
    <row r="3203">
      <c r="E3203" s="13" t="n"/>
    </row>
    <row r="3204">
      <c r="E3204" s="13" t="n"/>
    </row>
    <row r="3205">
      <c r="E3205" s="13" t="n"/>
    </row>
    <row r="3206">
      <c r="E3206" s="13" t="n"/>
    </row>
    <row r="3207">
      <c r="E3207" s="13" t="n"/>
    </row>
    <row r="3208">
      <c r="E3208" s="13" t="n"/>
    </row>
    <row r="3209">
      <c r="E3209" s="13" t="n"/>
    </row>
    <row r="3210">
      <c r="E3210" s="13" t="n"/>
    </row>
    <row r="3211">
      <c r="E3211" s="13" t="n"/>
    </row>
    <row r="3212">
      <c r="E3212" s="13" t="n"/>
    </row>
    <row r="3213">
      <c r="E3213" s="13" t="n"/>
    </row>
    <row r="3214">
      <c r="E3214" s="13" t="n"/>
    </row>
    <row r="3215">
      <c r="E3215" s="13" t="n"/>
    </row>
    <row r="3216">
      <c r="E3216" s="13" t="n"/>
    </row>
    <row r="3217">
      <c r="E3217" s="13" t="n"/>
    </row>
    <row r="3218">
      <c r="E3218" s="13" t="n"/>
    </row>
    <row r="3219">
      <c r="E3219" s="13" t="n"/>
    </row>
    <row r="3220">
      <c r="E3220" s="13" t="n"/>
    </row>
    <row r="3221">
      <c r="E3221" s="13" t="n"/>
    </row>
    <row r="3222">
      <c r="E3222" s="13" t="n"/>
    </row>
    <row r="3223">
      <c r="E3223" s="13" t="n"/>
    </row>
    <row r="3224">
      <c r="E3224" s="13" t="n"/>
    </row>
    <row r="3225">
      <c r="E3225" s="13" t="n"/>
    </row>
    <row r="3226">
      <c r="E3226" s="13" t="n"/>
    </row>
    <row r="3227">
      <c r="E3227" s="13" t="n"/>
    </row>
    <row r="3228">
      <c r="E3228" s="13" t="n"/>
    </row>
    <row r="3229">
      <c r="E3229" s="13" t="n"/>
    </row>
    <row r="3230">
      <c r="E3230" s="13" t="n"/>
    </row>
    <row r="3231">
      <c r="E3231" s="13" t="n"/>
    </row>
    <row r="3232">
      <c r="E3232" s="13" t="n"/>
    </row>
    <row r="3233">
      <c r="E3233" s="13" t="n"/>
    </row>
    <row r="3234">
      <c r="E3234" s="13" t="n"/>
    </row>
    <row r="3235">
      <c r="E3235" s="13" t="n"/>
    </row>
    <row r="3236">
      <c r="E3236" s="13" t="n"/>
    </row>
    <row r="3237">
      <c r="E3237" s="13" t="n"/>
    </row>
    <row r="3238">
      <c r="E3238" s="13" t="n"/>
    </row>
    <row r="3239">
      <c r="E3239" s="13" t="n"/>
    </row>
    <row r="3240">
      <c r="E3240" s="13" t="n"/>
    </row>
    <row r="3241">
      <c r="E3241" s="13" t="n"/>
    </row>
    <row r="3242">
      <c r="E3242" s="13" t="n"/>
    </row>
    <row r="3243">
      <c r="E3243" s="13" t="n"/>
    </row>
    <row r="3244">
      <c r="E3244" s="13" t="n"/>
    </row>
    <row r="3245">
      <c r="E3245" s="13" t="n"/>
    </row>
    <row r="3246">
      <c r="E3246" s="13" t="n"/>
    </row>
    <row r="3247">
      <c r="E3247" s="13" t="n"/>
    </row>
    <row r="3248">
      <c r="E3248" s="13" t="n"/>
    </row>
    <row r="3249">
      <c r="E3249" s="13" t="n"/>
    </row>
    <row r="3250">
      <c r="E3250" s="13" t="n"/>
    </row>
    <row r="3251">
      <c r="E3251" s="13" t="n"/>
    </row>
    <row r="3252">
      <c r="E3252" s="13" t="n"/>
    </row>
    <row r="3253">
      <c r="E3253" s="13" t="n"/>
    </row>
    <row r="3254">
      <c r="E3254" s="13" t="n"/>
    </row>
    <row r="3255">
      <c r="E3255" s="13" t="n"/>
    </row>
    <row r="3256">
      <c r="E3256" s="13" t="n"/>
    </row>
    <row r="3257">
      <c r="E3257" s="13" t="n"/>
    </row>
    <row r="3258">
      <c r="E3258" s="13" t="n"/>
    </row>
    <row r="3259">
      <c r="E3259" s="13" t="n"/>
    </row>
    <row r="3260">
      <c r="E3260" s="13" t="n"/>
    </row>
    <row r="3261">
      <c r="E3261" s="13" t="n"/>
    </row>
    <row r="3262">
      <c r="E3262" s="13" t="n"/>
    </row>
    <row r="3263">
      <c r="E3263" s="13" t="n"/>
    </row>
    <row r="3264">
      <c r="E3264" s="13" t="n"/>
    </row>
    <row r="3265">
      <c r="E3265" s="13" t="n"/>
    </row>
    <row r="3266">
      <c r="E3266" s="13" t="n"/>
    </row>
    <row r="3267">
      <c r="E3267" s="13" t="n"/>
    </row>
    <row r="3268">
      <c r="E3268" s="13" t="n"/>
    </row>
    <row r="3269">
      <c r="E3269" s="13" t="n"/>
    </row>
    <row r="3270">
      <c r="E3270" s="13" t="n"/>
    </row>
    <row r="3271">
      <c r="E3271" s="13" t="n"/>
    </row>
    <row r="3272">
      <c r="E3272" s="13" t="n"/>
    </row>
    <row r="3273">
      <c r="E3273" s="13" t="n"/>
    </row>
    <row r="3274">
      <c r="E3274" s="13" t="n"/>
    </row>
    <row r="3275">
      <c r="E3275" s="13" t="n"/>
    </row>
    <row r="3276">
      <c r="E3276" s="13" t="n"/>
    </row>
    <row r="3277">
      <c r="E3277" s="13" t="n"/>
    </row>
    <row r="3278">
      <c r="E3278" s="13" t="n"/>
    </row>
    <row r="3279">
      <c r="E3279" s="13" t="n"/>
    </row>
    <row r="3280">
      <c r="E3280" s="13" t="n"/>
    </row>
    <row r="3281">
      <c r="E3281" s="13" t="n"/>
    </row>
    <row r="3282">
      <c r="E3282" s="13" t="n"/>
    </row>
    <row r="3283">
      <c r="E3283" s="13" t="n"/>
    </row>
    <row r="3284">
      <c r="E3284" s="13" t="n"/>
    </row>
    <row r="3285">
      <c r="E3285" s="13" t="n"/>
    </row>
    <row r="3286">
      <c r="E3286" s="13" t="n"/>
    </row>
    <row r="3287">
      <c r="E3287" s="13" t="n"/>
    </row>
    <row r="3288">
      <c r="E3288" s="13" t="n"/>
    </row>
    <row r="3289">
      <c r="E3289" s="13" t="n"/>
    </row>
    <row r="3290">
      <c r="E3290" s="13" t="n"/>
    </row>
    <row r="3291">
      <c r="E3291" s="13" t="n"/>
    </row>
    <row r="3292">
      <c r="E3292" s="13" t="n"/>
    </row>
    <row r="3293">
      <c r="E3293" s="13" t="n"/>
    </row>
    <row r="3294">
      <c r="E3294" s="13" t="n"/>
    </row>
    <row r="3295">
      <c r="E3295" s="13" t="n"/>
    </row>
    <row r="3296">
      <c r="E3296" s="13" t="n"/>
    </row>
    <row r="3297">
      <c r="E3297" s="13" t="n"/>
    </row>
    <row r="3298">
      <c r="E3298" s="13" t="n"/>
    </row>
    <row r="3299">
      <c r="E3299" s="13" t="n"/>
    </row>
    <row r="3300">
      <c r="E3300" s="13" t="n"/>
    </row>
    <row r="3301">
      <c r="E3301" s="13" t="n"/>
    </row>
    <row r="3302">
      <c r="E3302" s="13" t="n"/>
    </row>
    <row r="3303">
      <c r="E3303" s="13" t="n"/>
    </row>
    <row r="3304">
      <c r="E3304" s="13" t="n"/>
    </row>
    <row r="3305">
      <c r="E3305" s="13" t="n"/>
    </row>
    <row r="3306">
      <c r="E3306" s="13" t="n"/>
    </row>
    <row r="3307">
      <c r="E3307" s="13" t="n"/>
    </row>
    <row r="3308">
      <c r="E3308" s="13" t="n"/>
    </row>
    <row r="3309">
      <c r="E3309" s="13" t="n"/>
    </row>
    <row r="3310">
      <c r="E3310" s="13" t="n"/>
    </row>
    <row r="3311">
      <c r="E3311" s="13" t="n"/>
    </row>
    <row r="3312">
      <c r="E3312" s="13" t="n"/>
    </row>
    <row r="3313">
      <c r="E3313" s="13" t="n"/>
    </row>
    <row r="3314">
      <c r="E3314" s="13" t="n"/>
    </row>
    <row r="3315">
      <c r="E3315" s="13" t="n"/>
    </row>
    <row r="3316">
      <c r="E3316" s="13" t="n"/>
    </row>
    <row r="3317">
      <c r="E3317" s="13" t="n"/>
    </row>
    <row r="3318">
      <c r="E3318" s="13" t="n"/>
    </row>
    <row r="3319">
      <c r="E3319" s="13" t="n"/>
    </row>
    <row r="3320">
      <c r="E3320" s="13" t="n"/>
    </row>
    <row r="3321">
      <c r="E3321" s="13" t="n"/>
    </row>
    <row r="3322">
      <c r="E3322" s="13" t="n"/>
    </row>
    <row r="3323">
      <c r="E3323" s="13" t="n"/>
    </row>
    <row r="3324">
      <c r="E3324" s="13" t="n"/>
    </row>
    <row r="3325">
      <c r="E3325" s="13" t="n"/>
    </row>
    <row r="3326">
      <c r="E3326" s="13" t="n"/>
    </row>
    <row r="3327">
      <c r="E3327" s="13" t="n"/>
    </row>
    <row r="3328">
      <c r="E3328" s="13" t="n"/>
    </row>
    <row r="3329">
      <c r="E3329" s="13" t="n"/>
    </row>
    <row r="3330">
      <c r="E3330" s="13" t="n"/>
    </row>
    <row r="3331">
      <c r="E3331" s="13" t="n"/>
    </row>
    <row r="3332">
      <c r="E3332" s="13" t="n"/>
    </row>
    <row r="3333">
      <c r="E3333" s="13" t="n"/>
    </row>
    <row r="3334">
      <c r="E3334" s="13" t="n"/>
    </row>
    <row r="3335">
      <c r="E3335" s="13" t="n"/>
    </row>
    <row r="3336">
      <c r="E3336" s="13" t="n"/>
    </row>
    <row r="3337">
      <c r="E3337" s="13" t="n"/>
    </row>
    <row r="3338">
      <c r="E3338" s="13" t="n"/>
    </row>
    <row r="3339">
      <c r="E3339" s="13" t="n"/>
    </row>
    <row r="3340">
      <c r="E3340" s="13" t="n"/>
    </row>
    <row r="3341">
      <c r="E3341" s="13" t="n"/>
    </row>
    <row r="3342">
      <c r="E3342" s="13" t="n"/>
    </row>
    <row r="3343">
      <c r="E3343" s="13" t="n"/>
    </row>
    <row r="3344">
      <c r="E3344" s="13" t="n"/>
    </row>
    <row r="3345">
      <c r="E3345" s="13" t="n"/>
    </row>
    <row r="3346">
      <c r="E3346" s="13" t="n"/>
    </row>
    <row r="3347">
      <c r="E3347" s="13" t="n"/>
    </row>
    <row r="3348">
      <c r="E3348" s="13" t="n"/>
    </row>
    <row r="3349">
      <c r="E3349" s="13" t="n"/>
    </row>
    <row r="3350">
      <c r="E3350" s="13" t="n"/>
    </row>
    <row r="3351">
      <c r="E3351" s="13" t="n"/>
    </row>
    <row r="3352">
      <c r="E3352" s="13" t="n"/>
    </row>
    <row r="3353">
      <c r="E3353" s="13" t="n"/>
    </row>
    <row r="3354">
      <c r="E3354" s="13" t="n"/>
    </row>
    <row r="3355">
      <c r="E3355" s="13" t="n"/>
    </row>
    <row r="3356">
      <c r="E3356" s="13" t="n"/>
    </row>
    <row r="3357">
      <c r="E3357" s="13" t="n"/>
    </row>
    <row r="3358">
      <c r="E3358" s="13" t="n"/>
    </row>
    <row r="3359">
      <c r="E3359" s="13" t="n"/>
    </row>
    <row r="3360">
      <c r="E3360" s="13" t="n"/>
    </row>
    <row r="3361">
      <c r="E3361" s="13" t="n"/>
    </row>
    <row r="3362">
      <c r="E3362" s="13" t="n"/>
    </row>
    <row r="3363">
      <c r="E3363" s="13" t="n"/>
    </row>
    <row r="3364">
      <c r="E3364" s="13" t="n"/>
    </row>
    <row r="3365">
      <c r="E3365" s="13" t="n"/>
    </row>
    <row r="3366">
      <c r="E3366" s="13" t="n"/>
    </row>
    <row r="3367">
      <c r="E3367" s="13" t="n"/>
    </row>
    <row r="3368">
      <c r="E3368" s="13" t="n"/>
    </row>
    <row r="3369">
      <c r="E3369" s="13" t="n"/>
    </row>
    <row r="3370">
      <c r="E3370" s="13" t="n"/>
    </row>
    <row r="3371">
      <c r="E3371" s="13" t="n"/>
    </row>
    <row r="3372">
      <c r="E3372" s="13" t="n"/>
    </row>
    <row r="3373">
      <c r="E3373" s="13" t="n"/>
    </row>
    <row r="3374">
      <c r="E3374" s="13" t="n"/>
    </row>
    <row r="3375">
      <c r="E3375" s="13" t="n"/>
    </row>
    <row r="3376">
      <c r="E3376" s="13" t="n"/>
    </row>
    <row r="3377">
      <c r="E3377" s="13" t="n"/>
    </row>
    <row r="3378">
      <c r="E3378" s="13" t="n"/>
    </row>
    <row r="3379">
      <c r="E3379" s="13" t="n"/>
    </row>
    <row r="3380">
      <c r="E3380" s="13" t="n"/>
    </row>
    <row r="3381">
      <c r="E3381" s="13" t="n"/>
    </row>
    <row r="3382">
      <c r="E3382" s="13" t="n"/>
    </row>
    <row r="3383">
      <c r="E3383" s="13" t="n"/>
    </row>
    <row r="3384">
      <c r="E3384" s="13" t="n"/>
    </row>
    <row r="3385">
      <c r="E3385" s="13" t="n"/>
    </row>
    <row r="3386">
      <c r="E3386" s="13" t="n"/>
    </row>
    <row r="3387">
      <c r="E3387" s="13" t="n"/>
    </row>
    <row r="3388">
      <c r="E3388" s="13" t="n"/>
    </row>
    <row r="3389">
      <c r="E3389" s="13" t="n"/>
    </row>
    <row r="3390">
      <c r="E3390" s="13" t="n"/>
    </row>
    <row r="3391">
      <c r="E3391" s="13" t="n"/>
    </row>
    <row r="3392">
      <c r="E3392" s="13" t="n"/>
    </row>
    <row r="3393">
      <c r="E3393" s="13" t="n"/>
    </row>
    <row r="3394">
      <c r="E3394" s="13" t="n"/>
    </row>
    <row r="3395">
      <c r="E3395" s="13" t="n"/>
    </row>
    <row r="3396">
      <c r="E3396" s="13" t="n"/>
    </row>
    <row r="3397">
      <c r="E3397" s="13" t="n"/>
    </row>
    <row r="3398">
      <c r="E3398" s="13" t="n"/>
    </row>
    <row r="3399">
      <c r="E3399" s="13" t="n"/>
    </row>
    <row r="3400">
      <c r="E3400" s="13" t="n"/>
    </row>
    <row r="3401">
      <c r="E3401" s="13" t="n"/>
    </row>
    <row r="3402">
      <c r="E3402" s="13" t="n"/>
    </row>
    <row r="3403">
      <c r="E3403" s="13" t="n"/>
    </row>
    <row r="3404">
      <c r="E3404" s="13" t="n"/>
    </row>
    <row r="3405">
      <c r="E3405" s="13" t="n"/>
    </row>
    <row r="3406">
      <c r="E3406" s="13" t="n"/>
    </row>
    <row r="3407">
      <c r="E3407" s="13" t="n"/>
    </row>
    <row r="3408">
      <c r="E3408" s="13" t="n"/>
    </row>
    <row r="3409">
      <c r="E3409" s="13" t="n"/>
    </row>
    <row r="3410">
      <c r="E3410" s="13" t="n"/>
    </row>
    <row r="3411">
      <c r="E3411" s="13" t="n"/>
    </row>
    <row r="3412">
      <c r="E3412" s="13" t="n"/>
    </row>
    <row r="3413">
      <c r="E3413" s="13" t="n"/>
    </row>
    <row r="3414">
      <c r="E3414" s="13" t="n"/>
    </row>
    <row r="3415">
      <c r="E3415" s="13" t="n"/>
    </row>
    <row r="3416">
      <c r="E3416" s="13" t="n"/>
    </row>
    <row r="3417">
      <c r="E3417" s="13" t="n"/>
    </row>
    <row r="3418">
      <c r="E3418" s="13" t="n"/>
    </row>
    <row r="3419">
      <c r="E3419" s="13" t="n"/>
    </row>
    <row r="3420">
      <c r="E3420" s="13" t="n"/>
    </row>
    <row r="3421">
      <c r="E3421" s="13" t="n"/>
    </row>
    <row r="3422">
      <c r="E3422" s="13" t="n"/>
    </row>
    <row r="3423">
      <c r="E3423" s="13" t="n"/>
    </row>
    <row r="3424">
      <c r="E3424" s="13" t="n"/>
    </row>
    <row r="3425">
      <c r="E3425" s="13" t="n"/>
    </row>
    <row r="3426">
      <c r="E3426" s="13" t="n"/>
    </row>
    <row r="3427">
      <c r="E3427" s="13" t="n"/>
    </row>
    <row r="3428">
      <c r="E3428" s="13" t="n"/>
    </row>
    <row r="3429">
      <c r="E3429" s="13" t="n"/>
    </row>
    <row r="3430">
      <c r="E3430" s="13" t="n"/>
    </row>
    <row r="3431">
      <c r="E3431" s="13" t="n"/>
    </row>
    <row r="3432">
      <c r="E3432" s="13" t="n"/>
    </row>
    <row r="3433">
      <c r="E3433" s="13" t="n"/>
    </row>
    <row r="3434">
      <c r="E3434" s="13" t="n"/>
    </row>
    <row r="3435">
      <c r="E3435" s="13" t="n"/>
    </row>
    <row r="3436">
      <c r="E3436" s="13" t="n"/>
    </row>
    <row r="3437">
      <c r="E3437" s="13" t="n"/>
    </row>
    <row r="3438">
      <c r="E3438" s="13" t="n"/>
    </row>
    <row r="3439">
      <c r="E3439" s="13" t="n"/>
    </row>
    <row r="3440">
      <c r="E3440" s="13" t="n"/>
    </row>
    <row r="3441">
      <c r="E3441" s="13" t="n"/>
    </row>
    <row r="3442">
      <c r="E3442" s="13" t="n"/>
    </row>
    <row r="3443">
      <c r="E3443" s="13" t="n"/>
    </row>
    <row r="3444">
      <c r="E3444" s="13" t="n"/>
    </row>
    <row r="3445">
      <c r="E3445" s="13" t="n"/>
    </row>
    <row r="3446">
      <c r="E3446" s="13" t="n"/>
    </row>
    <row r="3447">
      <c r="E3447" s="13" t="n"/>
    </row>
    <row r="3448">
      <c r="E3448" s="13" t="n"/>
    </row>
    <row r="3449">
      <c r="E3449" s="13" t="n"/>
    </row>
    <row r="3450">
      <c r="E3450" s="13" t="n"/>
    </row>
    <row r="3451">
      <c r="E3451" s="13" t="n"/>
    </row>
    <row r="3452">
      <c r="E3452" s="13" t="n"/>
    </row>
    <row r="3453">
      <c r="E3453" s="13" t="n"/>
    </row>
    <row r="3454">
      <c r="E3454" s="13" t="n"/>
    </row>
    <row r="3455">
      <c r="E3455" s="13" t="n"/>
    </row>
    <row r="3456">
      <c r="E3456" s="13" t="n"/>
    </row>
    <row r="3457">
      <c r="E3457" s="13" t="n"/>
    </row>
    <row r="3458">
      <c r="E3458" s="13" t="n"/>
    </row>
    <row r="3459">
      <c r="E3459" s="13" t="n"/>
    </row>
    <row r="3460">
      <c r="E3460" s="13" t="n"/>
    </row>
    <row r="3461">
      <c r="E3461" s="13" t="n"/>
    </row>
    <row r="3462">
      <c r="E3462" s="13" t="n"/>
    </row>
    <row r="3463">
      <c r="E3463" s="13" t="n"/>
    </row>
    <row r="3464">
      <c r="E3464" s="13" t="n"/>
    </row>
    <row r="3465">
      <c r="E3465" s="13" t="n"/>
    </row>
    <row r="3466">
      <c r="E3466" s="13" t="n"/>
    </row>
    <row r="3467">
      <c r="E3467" s="13" t="n"/>
    </row>
    <row r="3468">
      <c r="E3468" s="13" t="n"/>
    </row>
    <row r="3469">
      <c r="E3469" s="13" t="n"/>
    </row>
    <row r="3470">
      <c r="E3470" s="13" t="n"/>
    </row>
    <row r="3471">
      <c r="E3471" s="13" t="n"/>
    </row>
    <row r="3472">
      <c r="E3472" s="13" t="n"/>
    </row>
    <row r="3473">
      <c r="E3473" s="13" t="n"/>
    </row>
    <row r="3474">
      <c r="E3474" s="13" t="n"/>
    </row>
    <row r="3475">
      <c r="E3475" s="13" t="n"/>
    </row>
    <row r="3476">
      <c r="E3476" s="13" t="n"/>
    </row>
    <row r="3477">
      <c r="E3477" s="13" t="n"/>
    </row>
    <row r="3478">
      <c r="E3478" s="13" t="n"/>
    </row>
    <row r="3479">
      <c r="E3479" s="13" t="n"/>
    </row>
    <row r="3480">
      <c r="E3480" s="13" t="n"/>
    </row>
    <row r="3481">
      <c r="E3481" s="13" t="n"/>
    </row>
    <row r="3482">
      <c r="E3482" s="13" t="n"/>
    </row>
    <row r="3483">
      <c r="E3483" s="13" t="n"/>
    </row>
    <row r="3484">
      <c r="E3484" s="13" t="n"/>
    </row>
    <row r="3485">
      <c r="E3485" s="13" t="n"/>
    </row>
    <row r="3486">
      <c r="E3486" s="13" t="n"/>
    </row>
    <row r="3487">
      <c r="E3487" s="13" t="n"/>
    </row>
    <row r="3488">
      <c r="E3488" s="13" t="n"/>
    </row>
    <row r="3489">
      <c r="E3489" s="13" t="n"/>
    </row>
    <row r="3490">
      <c r="E3490" s="13" t="n"/>
    </row>
    <row r="3491">
      <c r="E3491" s="13" t="n"/>
    </row>
    <row r="3492">
      <c r="E3492" s="13" t="n"/>
    </row>
    <row r="3493">
      <c r="E3493" s="13" t="n"/>
    </row>
    <row r="3494">
      <c r="E3494" s="13" t="n"/>
    </row>
    <row r="3495">
      <c r="E3495" s="13" t="n"/>
    </row>
    <row r="3496">
      <c r="E3496" s="13" t="n"/>
    </row>
    <row r="3497">
      <c r="E3497" s="13" t="n"/>
    </row>
    <row r="3498">
      <c r="E3498" s="13" t="n"/>
    </row>
    <row r="3499">
      <c r="E3499" s="13" t="n"/>
    </row>
    <row r="3500">
      <c r="E3500" s="13" t="n"/>
    </row>
    <row r="3501">
      <c r="E3501" s="13" t="n"/>
    </row>
    <row r="3502">
      <c r="E3502" s="13" t="n"/>
    </row>
    <row r="3503">
      <c r="E3503" s="13" t="n"/>
    </row>
    <row r="3504">
      <c r="E3504" s="13" t="n"/>
    </row>
    <row r="3505">
      <c r="E3505" s="13" t="n"/>
    </row>
    <row r="3506">
      <c r="E3506" s="13" t="n"/>
    </row>
    <row r="3507">
      <c r="E3507" s="13" t="n"/>
    </row>
    <row r="3508">
      <c r="E3508" s="13" t="n"/>
    </row>
    <row r="3509">
      <c r="E3509" s="13" t="n"/>
    </row>
    <row r="3510">
      <c r="E3510" s="13" t="n"/>
    </row>
    <row r="3511">
      <c r="E3511" s="13" t="n"/>
    </row>
    <row r="3512">
      <c r="E3512" s="13" t="n"/>
    </row>
    <row r="3513">
      <c r="E3513" s="13" t="n"/>
    </row>
    <row r="3514">
      <c r="E3514" s="13" t="n"/>
    </row>
    <row r="3515">
      <c r="E3515" s="13" t="n"/>
    </row>
    <row r="3516">
      <c r="E3516" s="13" t="n"/>
    </row>
    <row r="3517">
      <c r="E3517" s="13" t="n"/>
    </row>
    <row r="3518">
      <c r="E3518" s="13" t="n"/>
    </row>
    <row r="3519">
      <c r="E3519" s="13" t="n"/>
    </row>
    <row r="3520">
      <c r="E3520" s="13" t="n"/>
    </row>
    <row r="3521">
      <c r="E3521" s="13" t="n"/>
    </row>
    <row r="3522">
      <c r="E3522" s="13" t="n"/>
    </row>
    <row r="3523">
      <c r="E3523" s="13" t="n"/>
    </row>
    <row r="3524">
      <c r="E3524" s="13" t="n"/>
    </row>
    <row r="3525">
      <c r="E3525" s="13" t="n"/>
    </row>
    <row r="3526">
      <c r="E3526" s="13" t="n"/>
    </row>
    <row r="3527">
      <c r="E3527" s="13" t="n"/>
    </row>
    <row r="3528">
      <c r="E3528" s="13" t="n"/>
    </row>
    <row r="3529">
      <c r="E3529" s="13" t="n"/>
    </row>
    <row r="3530">
      <c r="E3530" s="13" t="n"/>
    </row>
    <row r="3531">
      <c r="E3531" s="13" t="n"/>
    </row>
    <row r="3532">
      <c r="E3532" s="13" t="n"/>
    </row>
    <row r="3533">
      <c r="E3533" s="13" t="n"/>
    </row>
    <row r="3534">
      <c r="E3534" s="13" t="n"/>
    </row>
    <row r="3535">
      <c r="E3535" s="13" t="n"/>
    </row>
    <row r="3536">
      <c r="E3536" s="13" t="n"/>
    </row>
    <row r="3537">
      <c r="E3537" s="13" t="n"/>
    </row>
    <row r="3538">
      <c r="E3538" s="13" t="n"/>
    </row>
    <row r="3539">
      <c r="E3539" s="13" t="n"/>
    </row>
    <row r="3540">
      <c r="E3540" s="13" t="n"/>
    </row>
    <row r="3541">
      <c r="E3541" s="13" t="n"/>
    </row>
    <row r="3542">
      <c r="E3542" s="13" t="n"/>
    </row>
    <row r="3543">
      <c r="E3543" s="13" t="n"/>
    </row>
    <row r="3544">
      <c r="E3544" s="13" t="n"/>
    </row>
    <row r="3545">
      <c r="E3545" s="13" t="n"/>
    </row>
    <row r="3546">
      <c r="E3546" s="13" t="n"/>
    </row>
    <row r="3547">
      <c r="E3547" s="13" t="n"/>
    </row>
    <row r="3548">
      <c r="E3548" s="13" t="n"/>
    </row>
    <row r="3549">
      <c r="E3549" s="13" t="n"/>
    </row>
    <row r="3550">
      <c r="E3550" s="13" t="n"/>
    </row>
    <row r="3551">
      <c r="E3551" s="13" t="n"/>
    </row>
    <row r="3552">
      <c r="E3552" s="13" t="n"/>
    </row>
    <row r="3553">
      <c r="E3553" s="13" t="n"/>
    </row>
    <row r="3554">
      <c r="E3554" s="13" t="n"/>
    </row>
    <row r="3555">
      <c r="E3555" s="13" t="n"/>
    </row>
    <row r="3556">
      <c r="E3556" s="13" t="n"/>
    </row>
    <row r="3557">
      <c r="E3557" s="13" t="n"/>
    </row>
    <row r="3558">
      <c r="E3558" s="13" t="n"/>
    </row>
    <row r="3559">
      <c r="E3559" s="13" t="n"/>
    </row>
    <row r="3560">
      <c r="E3560" s="13" t="n"/>
    </row>
    <row r="3561">
      <c r="E3561" s="13" t="n"/>
    </row>
    <row r="3562">
      <c r="E3562" s="13" t="n"/>
    </row>
    <row r="3563">
      <c r="E3563" s="13" t="n"/>
    </row>
    <row r="3564">
      <c r="E3564" s="13" t="n"/>
    </row>
    <row r="3565">
      <c r="E3565" s="13" t="n"/>
    </row>
    <row r="3566">
      <c r="E3566" s="13" t="n"/>
    </row>
    <row r="3567">
      <c r="E3567" s="13" t="n"/>
    </row>
    <row r="3568">
      <c r="E3568" s="13" t="n"/>
    </row>
    <row r="3569">
      <c r="E3569" s="13" t="n"/>
    </row>
    <row r="3570">
      <c r="E3570" s="13" t="n"/>
    </row>
    <row r="3571">
      <c r="E3571" s="13" t="n"/>
    </row>
    <row r="3572">
      <c r="E3572" s="13" t="n"/>
    </row>
    <row r="3573">
      <c r="E3573" s="13" t="n"/>
    </row>
    <row r="3574">
      <c r="E3574" s="13" t="n"/>
    </row>
    <row r="3575">
      <c r="E3575" s="13" t="n"/>
    </row>
    <row r="3576">
      <c r="E3576" s="13" t="n"/>
    </row>
    <row r="3577">
      <c r="E3577" s="13" t="n"/>
    </row>
    <row r="3578">
      <c r="E3578" s="13" t="n"/>
    </row>
    <row r="3579">
      <c r="E3579" s="13" t="n"/>
    </row>
    <row r="3580">
      <c r="E3580" s="13" t="n"/>
    </row>
    <row r="3581">
      <c r="E3581" s="13" t="n"/>
    </row>
    <row r="3582">
      <c r="E3582" s="13" t="n"/>
    </row>
    <row r="3583">
      <c r="E3583" s="13" t="n"/>
    </row>
    <row r="3584">
      <c r="E3584" s="13" t="n"/>
    </row>
    <row r="3585">
      <c r="E3585" s="13" t="n"/>
    </row>
    <row r="3586">
      <c r="E3586" s="13" t="n"/>
    </row>
    <row r="3587">
      <c r="E3587" s="13" t="n"/>
    </row>
    <row r="3588">
      <c r="E3588" s="13" t="n"/>
    </row>
    <row r="3589">
      <c r="E3589" s="13" t="n"/>
    </row>
    <row r="3590">
      <c r="E3590" s="13" t="n"/>
    </row>
    <row r="3591">
      <c r="E3591" s="13" t="n"/>
    </row>
    <row r="3592">
      <c r="E3592" s="13" t="n"/>
    </row>
    <row r="3593">
      <c r="E3593" s="13" t="n"/>
    </row>
    <row r="3594">
      <c r="E3594" s="13" t="n"/>
    </row>
    <row r="3595">
      <c r="E3595" s="13" t="n"/>
    </row>
    <row r="3596">
      <c r="E3596" s="13" t="n"/>
    </row>
    <row r="3597">
      <c r="E3597" s="13" t="n"/>
    </row>
    <row r="3598">
      <c r="E3598" s="13" t="n"/>
    </row>
    <row r="3599">
      <c r="E3599" s="13" t="n"/>
    </row>
    <row r="3600">
      <c r="E3600" s="13" t="n"/>
    </row>
    <row r="3601">
      <c r="E3601" s="13" t="n"/>
    </row>
    <row r="3602">
      <c r="E3602" s="13" t="n"/>
    </row>
    <row r="3603">
      <c r="E3603" s="13" t="n"/>
    </row>
    <row r="3604">
      <c r="E3604" s="13" t="n"/>
    </row>
    <row r="3605">
      <c r="E3605" s="13" t="n"/>
    </row>
    <row r="3606">
      <c r="E3606" s="13" t="n"/>
    </row>
    <row r="3607">
      <c r="E3607" s="13" t="n"/>
    </row>
    <row r="3608">
      <c r="E3608" s="13" t="n"/>
    </row>
    <row r="3609">
      <c r="E3609" s="13" t="n"/>
    </row>
    <row r="3610">
      <c r="E3610" s="13" t="n"/>
    </row>
    <row r="3611">
      <c r="E3611" s="13" t="n"/>
    </row>
    <row r="3612">
      <c r="E3612" s="13" t="n"/>
    </row>
    <row r="3613">
      <c r="E3613" s="13" t="n"/>
    </row>
    <row r="3614">
      <c r="E3614" s="13" t="n"/>
    </row>
    <row r="3615">
      <c r="E3615" s="13" t="n"/>
    </row>
    <row r="3616">
      <c r="E3616" s="13" t="n"/>
    </row>
    <row r="3617">
      <c r="E3617" s="13" t="n"/>
    </row>
    <row r="3618">
      <c r="E3618" s="13" t="n"/>
    </row>
    <row r="3619">
      <c r="E3619" s="13" t="n"/>
    </row>
    <row r="3620">
      <c r="E3620" s="13" t="n"/>
    </row>
    <row r="3621">
      <c r="E3621" s="13" t="n"/>
    </row>
    <row r="3622">
      <c r="E3622" s="13" t="n"/>
    </row>
    <row r="3623">
      <c r="E3623" s="13" t="n"/>
    </row>
    <row r="3624">
      <c r="E3624" s="13" t="n"/>
    </row>
    <row r="3625">
      <c r="E3625" s="13" t="n"/>
    </row>
    <row r="3626">
      <c r="E3626" s="13" t="n"/>
    </row>
    <row r="3627">
      <c r="E3627" s="13" t="n"/>
    </row>
    <row r="3628">
      <c r="E3628" s="13" t="n"/>
    </row>
    <row r="3629">
      <c r="E3629" s="13" t="n"/>
    </row>
    <row r="3630">
      <c r="E3630" s="13" t="n"/>
    </row>
    <row r="3631">
      <c r="E3631" s="13" t="n"/>
    </row>
    <row r="3632">
      <c r="E3632" s="13" t="n"/>
    </row>
    <row r="3633">
      <c r="E3633" s="13" t="n"/>
    </row>
    <row r="3634">
      <c r="E3634" s="13" t="n"/>
    </row>
    <row r="3635">
      <c r="E3635" s="13" t="n"/>
    </row>
    <row r="3636">
      <c r="E3636" s="13" t="n"/>
    </row>
    <row r="3637">
      <c r="E3637" s="13" t="n"/>
    </row>
    <row r="3638">
      <c r="E3638" s="13" t="n"/>
    </row>
    <row r="3639">
      <c r="E3639" s="13" t="n"/>
    </row>
    <row r="3640">
      <c r="E3640" s="13" t="n"/>
    </row>
    <row r="3641">
      <c r="E3641" s="13" t="n"/>
    </row>
    <row r="3642">
      <c r="E3642" s="13" t="n"/>
    </row>
    <row r="3643">
      <c r="E3643" s="13" t="n"/>
    </row>
    <row r="3644">
      <c r="E3644" s="13" t="n"/>
    </row>
    <row r="3645">
      <c r="E3645" s="13" t="n"/>
    </row>
    <row r="3646">
      <c r="E3646" s="13" t="n"/>
    </row>
    <row r="3647">
      <c r="E3647" s="13" t="n"/>
    </row>
    <row r="3648">
      <c r="E3648" s="13" t="n"/>
    </row>
    <row r="3649">
      <c r="E3649" s="13" t="n"/>
    </row>
    <row r="3650">
      <c r="E3650" s="13" t="n"/>
    </row>
    <row r="3651">
      <c r="E3651" s="13" t="n"/>
    </row>
    <row r="3652">
      <c r="E3652" s="13" t="n"/>
    </row>
    <row r="3653">
      <c r="E3653" s="13" t="n"/>
    </row>
    <row r="3654">
      <c r="E3654" s="13" t="n"/>
    </row>
    <row r="3655">
      <c r="E3655" s="13" t="n"/>
    </row>
    <row r="3656">
      <c r="E3656" s="13" t="n"/>
    </row>
    <row r="3657">
      <c r="E3657" s="13" t="n"/>
    </row>
    <row r="3658">
      <c r="E3658" s="13" t="n"/>
    </row>
    <row r="3659">
      <c r="E3659" s="13" t="n"/>
    </row>
    <row r="3660">
      <c r="E3660" s="13" t="n"/>
    </row>
    <row r="3661">
      <c r="E3661" s="13" t="n"/>
    </row>
    <row r="3662">
      <c r="E3662" s="13" t="n"/>
    </row>
    <row r="3663">
      <c r="E3663" s="13" t="n"/>
    </row>
    <row r="3664">
      <c r="E3664" s="13" t="n"/>
    </row>
    <row r="3665">
      <c r="E3665" s="13" t="n"/>
    </row>
    <row r="3666">
      <c r="E3666" s="13" t="n"/>
    </row>
    <row r="3667">
      <c r="E3667" s="13" t="n"/>
    </row>
    <row r="3668">
      <c r="E3668" s="13" t="n"/>
    </row>
    <row r="3669">
      <c r="E3669" s="13" t="n"/>
    </row>
    <row r="3670">
      <c r="E3670" s="13" t="n"/>
    </row>
    <row r="3671">
      <c r="E3671" s="13" t="n"/>
    </row>
    <row r="3672">
      <c r="E3672" s="13" t="n"/>
    </row>
    <row r="3673">
      <c r="E3673" s="13" t="n"/>
    </row>
    <row r="3674">
      <c r="E3674" s="13" t="n"/>
    </row>
    <row r="3675">
      <c r="E3675" s="13" t="n"/>
    </row>
    <row r="3676">
      <c r="E3676" s="13" t="n"/>
    </row>
    <row r="3677">
      <c r="E3677" s="13" t="n"/>
    </row>
    <row r="3678">
      <c r="E3678" s="13" t="n"/>
    </row>
    <row r="3679">
      <c r="E3679" s="13" t="n"/>
    </row>
    <row r="3680">
      <c r="E3680" s="13" t="n"/>
    </row>
    <row r="3681">
      <c r="E3681" s="13" t="n"/>
    </row>
    <row r="3682">
      <c r="E3682" s="13" t="n"/>
    </row>
    <row r="3683">
      <c r="E3683" s="13" t="n"/>
    </row>
    <row r="3684">
      <c r="E3684" s="13" t="n"/>
    </row>
    <row r="3685">
      <c r="E3685" s="13" t="n"/>
    </row>
    <row r="3686">
      <c r="E3686" s="13" t="n"/>
    </row>
    <row r="3687">
      <c r="E3687" s="13" t="n"/>
    </row>
    <row r="3688">
      <c r="E3688" s="13" t="n"/>
    </row>
    <row r="3689">
      <c r="E3689" s="13" t="n"/>
    </row>
    <row r="3690">
      <c r="E3690" s="13" t="n"/>
    </row>
    <row r="3691">
      <c r="E3691" s="13" t="n"/>
    </row>
    <row r="3692">
      <c r="E3692" s="13" t="n"/>
    </row>
    <row r="3693">
      <c r="E3693" s="13" t="n"/>
    </row>
    <row r="3694">
      <c r="E3694" s="13" t="n"/>
    </row>
    <row r="3695">
      <c r="E3695" s="13" t="n"/>
    </row>
    <row r="3696">
      <c r="E3696" s="13" t="n"/>
    </row>
    <row r="3697">
      <c r="E3697" s="13" t="n"/>
    </row>
    <row r="3698">
      <c r="E3698" s="13" t="n"/>
    </row>
    <row r="3699">
      <c r="E3699" s="13" t="n"/>
    </row>
    <row r="3700">
      <c r="E3700" s="13" t="n"/>
    </row>
    <row r="3701">
      <c r="E3701" s="13" t="n"/>
    </row>
    <row r="3702">
      <c r="E3702" s="13" t="n"/>
    </row>
    <row r="3703">
      <c r="E3703" s="13" t="n"/>
    </row>
    <row r="3704">
      <c r="E3704" s="13" t="n"/>
    </row>
    <row r="3705">
      <c r="E3705" s="13" t="n"/>
    </row>
    <row r="3706">
      <c r="E3706" s="13" t="n"/>
    </row>
    <row r="3707">
      <c r="E3707" s="13" t="n"/>
    </row>
    <row r="3708">
      <c r="E3708" s="13" t="n"/>
    </row>
    <row r="3709">
      <c r="E3709" s="13" t="n"/>
    </row>
    <row r="3710">
      <c r="E3710" s="13" t="n"/>
    </row>
    <row r="3711">
      <c r="E3711" s="13" t="n"/>
    </row>
    <row r="3712">
      <c r="E3712" s="13" t="n"/>
    </row>
    <row r="3713">
      <c r="E3713" s="13" t="n"/>
    </row>
    <row r="3714">
      <c r="E3714" s="13" t="n"/>
    </row>
    <row r="3715">
      <c r="E3715" s="13" t="n"/>
    </row>
    <row r="3716">
      <c r="E3716" s="13" t="n"/>
    </row>
    <row r="3717">
      <c r="E3717" s="13" t="n"/>
    </row>
    <row r="3718">
      <c r="E3718" s="13" t="n"/>
    </row>
    <row r="3719">
      <c r="E3719" s="13" t="n"/>
    </row>
    <row r="3720">
      <c r="E3720" s="13" t="n"/>
    </row>
    <row r="3721">
      <c r="E3721" s="13" t="n"/>
    </row>
    <row r="3722">
      <c r="E3722" s="13" t="n"/>
    </row>
    <row r="3723">
      <c r="E3723" s="13" t="n"/>
    </row>
    <row r="3724">
      <c r="E3724" s="13" t="n"/>
    </row>
    <row r="3725">
      <c r="E3725" s="13" t="n"/>
    </row>
    <row r="3726">
      <c r="E3726" s="13" t="n"/>
    </row>
    <row r="3727">
      <c r="E3727" s="13" t="n"/>
    </row>
    <row r="3728">
      <c r="E3728" s="13" t="n"/>
    </row>
    <row r="3729">
      <c r="E3729" s="13" t="n"/>
    </row>
    <row r="3730">
      <c r="E3730" s="13" t="n"/>
    </row>
    <row r="3731">
      <c r="E3731" s="13" t="n"/>
    </row>
    <row r="3732">
      <c r="E3732" s="13" t="n"/>
    </row>
    <row r="3733">
      <c r="E3733" s="13" t="n"/>
    </row>
    <row r="3734">
      <c r="E3734" s="13" t="n"/>
    </row>
    <row r="3735">
      <c r="E3735" s="13" t="n"/>
    </row>
    <row r="3736">
      <c r="E3736" s="13" t="n"/>
    </row>
    <row r="3737">
      <c r="E3737" s="13" t="n"/>
    </row>
    <row r="3738">
      <c r="E3738" s="13" t="n"/>
    </row>
    <row r="3739">
      <c r="E3739" s="13" t="n"/>
    </row>
    <row r="3740">
      <c r="E3740" s="13" t="n"/>
    </row>
    <row r="3741">
      <c r="E3741" s="13" t="n"/>
    </row>
    <row r="3742">
      <c r="E3742" s="13" t="n"/>
    </row>
    <row r="3743">
      <c r="E3743" s="13" t="n"/>
    </row>
    <row r="3744">
      <c r="E3744" s="13" t="n"/>
    </row>
    <row r="3745">
      <c r="E3745" s="13" t="n"/>
    </row>
    <row r="3746">
      <c r="E3746" s="13" t="n"/>
    </row>
    <row r="3747">
      <c r="E3747" s="13" t="n"/>
    </row>
    <row r="3748">
      <c r="E3748" s="13" t="n"/>
    </row>
    <row r="3749">
      <c r="E3749" s="13" t="n"/>
    </row>
    <row r="3750">
      <c r="E3750" s="13" t="n"/>
    </row>
    <row r="3751">
      <c r="E3751" s="13" t="n"/>
    </row>
    <row r="3752">
      <c r="E3752" s="13" t="n"/>
    </row>
    <row r="3753">
      <c r="E3753" s="13" t="n"/>
    </row>
    <row r="3754">
      <c r="E3754" s="13" t="n"/>
    </row>
    <row r="3755">
      <c r="E3755" s="13" t="n"/>
    </row>
    <row r="3756">
      <c r="E3756" s="13" t="n"/>
    </row>
    <row r="3757">
      <c r="E3757" s="13" t="n"/>
    </row>
    <row r="3758">
      <c r="E3758" s="13" t="n"/>
    </row>
    <row r="3759">
      <c r="E3759" s="13" t="n"/>
    </row>
    <row r="3760">
      <c r="E3760" s="13" t="n"/>
    </row>
    <row r="3761">
      <c r="E3761" s="13" t="n"/>
    </row>
    <row r="3762">
      <c r="E3762" s="13" t="n"/>
    </row>
    <row r="3763">
      <c r="E3763" s="13" t="n"/>
    </row>
    <row r="3764">
      <c r="E3764" s="13" t="n"/>
    </row>
    <row r="3765">
      <c r="E3765" s="13" t="n"/>
    </row>
    <row r="3766">
      <c r="E3766" s="13" t="n"/>
    </row>
    <row r="3767">
      <c r="E3767" s="13" t="n"/>
    </row>
    <row r="3768">
      <c r="E3768" s="13" t="n"/>
    </row>
    <row r="3769">
      <c r="E3769" s="13" t="n"/>
    </row>
    <row r="3770">
      <c r="E3770" s="13" t="n"/>
    </row>
    <row r="3771">
      <c r="E3771" s="13" t="n"/>
    </row>
    <row r="3772">
      <c r="E3772" s="13" t="n"/>
    </row>
    <row r="3773">
      <c r="E3773" s="13" t="n"/>
    </row>
    <row r="3774">
      <c r="E3774" s="13" t="n"/>
    </row>
    <row r="3775">
      <c r="E3775" s="13" t="n"/>
    </row>
    <row r="3776">
      <c r="E3776" s="13" t="n"/>
    </row>
    <row r="3777">
      <c r="E3777" s="13" t="n"/>
    </row>
    <row r="3778">
      <c r="E3778" s="13" t="n"/>
    </row>
    <row r="3779">
      <c r="E3779" s="13" t="n"/>
    </row>
    <row r="3780">
      <c r="E3780" s="13" t="n"/>
    </row>
    <row r="3781">
      <c r="E3781" s="13" t="n"/>
    </row>
    <row r="3782">
      <c r="E3782" s="13" t="n"/>
    </row>
    <row r="3783">
      <c r="E3783" s="13" t="n"/>
    </row>
    <row r="3784">
      <c r="E3784" s="13" t="n"/>
    </row>
    <row r="3785">
      <c r="E3785" s="13" t="n"/>
    </row>
    <row r="3786">
      <c r="E3786" s="13" t="n"/>
    </row>
    <row r="3787">
      <c r="E3787" s="13" t="n"/>
    </row>
    <row r="3788">
      <c r="E3788" s="13" t="n"/>
    </row>
    <row r="3789">
      <c r="E3789" s="13" t="n"/>
    </row>
    <row r="3790">
      <c r="E3790" s="13" t="n"/>
    </row>
    <row r="3791">
      <c r="E3791" s="13" t="n"/>
    </row>
    <row r="3792">
      <c r="E3792" s="13" t="n"/>
    </row>
    <row r="3793">
      <c r="E3793" s="13" t="n"/>
    </row>
    <row r="3794">
      <c r="E3794" s="13" t="n"/>
    </row>
    <row r="3795">
      <c r="E3795" s="13" t="n"/>
    </row>
    <row r="3796">
      <c r="E3796" s="13" t="n"/>
    </row>
    <row r="3797">
      <c r="E3797" s="13" t="n"/>
    </row>
    <row r="3798">
      <c r="E3798" s="13" t="n"/>
    </row>
    <row r="3799">
      <c r="E3799" s="13" t="n"/>
    </row>
    <row r="3800">
      <c r="E3800" s="13" t="n"/>
    </row>
    <row r="3801">
      <c r="E3801" s="13" t="n"/>
    </row>
    <row r="3802">
      <c r="E3802" s="13" t="n"/>
    </row>
    <row r="3803">
      <c r="E3803" s="13" t="n"/>
    </row>
    <row r="3804">
      <c r="E3804" s="13" t="n"/>
    </row>
    <row r="3805">
      <c r="E3805" s="13" t="n"/>
    </row>
    <row r="3806">
      <c r="E3806" s="13" t="n"/>
    </row>
    <row r="3807">
      <c r="E3807" s="13" t="n"/>
    </row>
    <row r="3808">
      <c r="E3808" s="13" t="n"/>
    </row>
    <row r="3809">
      <c r="E3809" s="13" t="n"/>
    </row>
    <row r="3810">
      <c r="E3810" s="13" t="n"/>
    </row>
    <row r="3811">
      <c r="E3811" s="13" t="n"/>
    </row>
    <row r="3812">
      <c r="E3812" s="13" t="n"/>
    </row>
    <row r="3813">
      <c r="E3813" s="13" t="n"/>
    </row>
    <row r="3814">
      <c r="E3814" s="13" t="n"/>
    </row>
    <row r="3815">
      <c r="E3815" s="13" t="n"/>
    </row>
    <row r="3816">
      <c r="E3816" s="13" t="n"/>
    </row>
    <row r="3817">
      <c r="E3817" s="13" t="n"/>
    </row>
    <row r="3818">
      <c r="E3818" s="13" t="n"/>
    </row>
    <row r="3819">
      <c r="E3819" s="13" t="n"/>
    </row>
    <row r="3820">
      <c r="E3820" s="13" t="n"/>
    </row>
    <row r="3821">
      <c r="E3821" s="13" t="n"/>
    </row>
    <row r="3822">
      <c r="E3822" s="13" t="n"/>
    </row>
    <row r="3823">
      <c r="E3823" s="13" t="n"/>
    </row>
    <row r="3824">
      <c r="E3824" s="13" t="n"/>
    </row>
    <row r="3825">
      <c r="E3825" s="13" t="n"/>
    </row>
    <row r="3826">
      <c r="E3826" s="13" t="n"/>
    </row>
    <row r="3827">
      <c r="E3827" s="13" t="n"/>
    </row>
    <row r="3828">
      <c r="E3828" s="13" t="n"/>
    </row>
    <row r="3829">
      <c r="E3829" s="13" t="n"/>
    </row>
    <row r="3830">
      <c r="E3830" s="13" t="n"/>
    </row>
    <row r="3831">
      <c r="E3831" s="13" t="n"/>
    </row>
    <row r="3832">
      <c r="E3832" s="13" t="n"/>
    </row>
    <row r="3833">
      <c r="E3833" s="13" t="n"/>
    </row>
    <row r="3834">
      <c r="E3834" s="13" t="n"/>
    </row>
    <row r="3835">
      <c r="E3835" s="13" t="n"/>
    </row>
    <row r="3836">
      <c r="E3836" s="13" t="n"/>
    </row>
    <row r="3837">
      <c r="E3837" s="13" t="n"/>
    </row>
    <row r="3838">
      <c r="E3838" s="13" t="n"/>
    </row>
    <row r="3839">
      <c r="E3839" s="13" t="n"/>
    </row>
    <row r="3840">
      <c r="E3840" s="13" t="n"/>
    </row>
    <row r="3841">
      <c r="E3841" s="13" t="n"/>
    </row>
    <row r="3842">
      <c r="E3842" s="13" t="n"/>
    </row>
    <row r="3843">
      <c r="E3843" s="13" t="n"/>
    </row>
    <row r="3844">
      <c r="E3844" s="13" t="n"/>
    </row>
    <row r="3845">
      <c r="E3845" s="13" t="n"/>
    </row>
    <row r="3846">
      <c r="E3846" s="13" t="n"/>
    </row>
    <row r="3847">
      <c r="E3847" s="13" t="n"/>
    </row>
    <row r="3848">
      <c r="E3848" s="13" t="n"/>
    </row>
    <row r="3849">
      <c r="E3849" s="13" t="n"/>
    </row>
    <row r="3850">
      <c r="E3850" s="13" t="n"/>
    </row>
    <row r="3851">
      <c r="E3851" s="13" t="n"/>
    </row>
    <row r="3852">
      <c r="E3852" s="13" t="n"/>
    </row>
    <row r="3853">
      <c r="E3853" s="13" t="n"/>
    </row>
    <row r="3854">
      <c r="E3854" s="13" t="n"/>
    </row>
    <row r="3855">
      <c r="E3855" s="13" t="n"/>
    </row>
    <row r="3856">
      <c r="E3856" s="13" t="n"/>
    </row>
    <row r="3857">
      <c r="E3857" s="13" t="n"/>
    </row>
    <row r="3858">
      <c r="E3858" s="13" t="n"/>
    </row>
    <row r="3859">
      <c r="E3859" s="13" t="n"/>
    </row>
    <row r="3860">
      <c r="E3860" s="13" t="n"/>
    </row>
    <row r="3861">
      <c r="E3861" s="13" t="n"/>
    </row>
    <row r="3862">
      <c r="E3862" s="13" t="n"/>
    </row>
    <row r="3863">
      <c r="E3863" s="13" t="n"/>
    </row>
    <row r="3864">
      <c r="E3864" s="13" t="n"/>
    </row>
    <row r="3865">
      <c r="E3865" s="13" t="n"/>
    </row>
    <row r="3866">
      <c r="E3866" s="13" t="n"/>
    </row>
    <row r="3867">
      <c r="E3867" s="13" t="n"/>
    </row>
    <row r="3868">
      <c r="E3868" s="13" t="n"/>
    </row>
    <row r="3869">
      <c r="E3869" s="13" t="n"/>
    </row>
    <row r="3870">
      <c r="E3870" s="13" t="n"/>
    </row>
    <row r="3871">
      <c r="E3871" s="13" t="n"/>
    </row>
    <row r="3872">
      <c r="E3872" s="13" t="n"/>
    </row>
    <row r="3873">
      <c r="E3873" s="13" t="n"/>
    </row>
    <row r="3874">
      <c r="E3874" s="13" t="n"/>
    </row>
    <row r="3875">
      <c r="E3875" s="13" t="n"/>
    </row>
    <row r="3876">
      <c r="E3876" s="13" t="n"/>
    </row>
    <row r="3877">
      <c r="E3877" s="13" t="n"/>
    </row>
    <row r="3878">
      <c r="E3878" s="13" t="n"/>
    </row>
    <row r="3879">
      <c r="E3879" s="13" t="n"/>
    </row>
    <row r="3880">
      <c r="E3880" s="13" t="n"/>
    </row>
    <row r="3881">
      <c r="E3881" s="13" t="n"/>
    </row>
    <row r="3882">
      <c r="E3882" s="13" t="n"/>
    </row>
    <row r="3883">
      <c r="E3883" s="13" t="n"/>
    </row>
    <row r="3884">
      <c r="E3884" s="13" t="n"/>
    </row>
    <row r="3885">
      <c r="E3885" s="13" t="n"/>
    </row>
    <row r="3886">
      <c r="E3886" s="13" t="n"/>
    </row>
    <row r="3887">
      <c r="E3887" s="13" t="n"/>
    </row>
    <row r="3888">
      <c r="E3888" s="13" t="n"/>
    </row>
    <row r="3889">
      <c r="E3889" s="13" t="n"/>
    </row>
    <row r="3890">
      <c r="E3890" s="13" t="n"/>
    </row>
    <row r="3891">
      <c r="E3891" s="13" t="n"/>
    </row>
    <row r="3892">
      <c r="E3892" s="13" t="n"/>
    </row>
    <row r="3893">
      <c r="E3893" s="13" t="n"/>
    </row>
    <row r="3894">
      <c r="E3894" s="13" t="n"/>
    </row>
    <row r="3895">
      <c r="E3895" s="13" t="n"/>
    </row>
    <row r="3896">
      <c r="E3896" s="13" t="n"/>
    </row>
    <row r="3897">
      <c r="E3897" s="13" t="n"/>
    </row>
    <row r="3898">
      <c r="E3898" s="13" t="n"/>
    </row>
    <row r="3899">
      <c r="E3899" s="13" t="n"/>
    </row>
    <row r="3900">
      <c r="E3900" s="13" t="n"/>
    </row>
    <row r="3901">
      <c r="E3901" s="13" t="n"/>
    </row>
    <row r="3902">
      <c r="E3902" s="13" t="n"/>
    </row>
    <row r="3903">
      <c r="E3903" s="13" t="n"/>
    </row>
    <row r="3904">
      <c r="E3904" s="13" t="n"/>
    </row>
    <row r="3905">
      <c r="E3905" s="13" t="n"/>
    </row>
    <row r="3906">
      <c r="E3906" s="13" t="n"/>
    </row>
    <row r="3907">
      <c r="E3907" s="13" t="n"/>
    </row>
    <row r="3908">
      <c r="E3908" s="13" t="n"/>
    </row>
    <row r="3909">
      <c r="E3909" s="13" t="n"/>
    </row>
    <row r="3910">
      <c r="E3910" s="13" t="n"/>
    </row>
    <row r="3911">
      <c r="E3911" s="13" t="n"/>
    </row>
    <row r="3912">
      <c r="E3912" s="13" t="n"/>
    </row>
    <row r="3913">
      <c r="E3913" s="13" t="n"/>
    </row>
    <row r="3914">
      <c r="E3914" s="13" t="n"/>
    </row>
    <row r="3915">
      <c r="E3915" s="13" t="n"/>
    </row>
    <row r="3916">
      <c r="E3916" s="13" t="n"/>
    </row>
    <row r="3917">
      <c r="E3917" s="13" t="n"/>
    </row>
    <row r="3918">
      <c r="E3918" s="13" t="n"/>
    </row>
    <row r="3919">
      <c r="E3919" s="13" t="n"/>
    </row>
    <row r="3920">
      <c r="E3920" s="13" t="n"/>
    </row>
    <row r="3921">
      <c r="E3921" s="13" t="n"/>
    </row>
    <row r="3922">
      <c r="E3922" s="13" t="n"/>
    </row>
    <row r="3923">
      <c r="E3923" s="13" t="n"/>
    </row>
    <row r="3924">
      <c r="E3924" s="13" t="n"/>
    </row>
    <row r="3925">
      <c r="E3925" s="13" t="n"/>
    </row>
    <row r="3926">
      <c r="E3926" s="13" t="n"/>
    </row>
    <row r="3927">
      <c r="E3927" s="13" t="n"/>
    </row>
    <row r="3928">
      <c r="E3928" s="13" t="n"/>
    </row>
    <row r="3929">
      <c r="E3929" s="13" t="n"/>
    </row>
    <row r="3930">
      <c r="E3930" s="13" t="n"/>
    </row>
    <row r="3931">
      <c r="E3931" s="13" t="n"/>
    </row>
    <row r="3932">
      <c r="E3932" s="13" t="n"/>
    </row>
    <row r="3933">
      <c r="E3933" s="13" t="n"/>
    </row>
    <row r="3934">
      <c r="E3934" s="13" t="n"/>
    </row>
    <row r="3935">
      <c r="E3935" s="13" t="n"/>
    </row>
    <row r="3936">
      <c r="E3936" s="13" t="n"/>
    </row>
    <row r="3937">
      <c r="E3937" s="13" t="n"/>
    </row>
    <row r="3938">
      <c r="E3938" s="13" t="n"/>
    </row>
    <row r="3939">
      <c r="E3939" s="13" t="n"/>
    </row>
    <row r="3940">
      <c r="E3940" s="13" t="n"/>
    </row>
    <row r="3941">
      <c r="E3941" s="13" t="n"/>
    </row>
    <row r="3942">
      <c r="E3942" s="13" t="n"/>
    </row>
    <row r="3943">
      <c r="E3943" s="13" t="n"/>
    </row>
    <row r="3944">
      <c r="E3944" s="13" t="n"/>
    </row>
    <row r="3945">
      <c r="E3945" s="13" t="n"/>
    </row>
    <row r="3946">
      <c r="E3946" s="13" t="n"/>
    </row>
    <row r="3947">
      <c r="E3947" s="13" t="n"/>
    </row>
    <row r="3948">
      <c r="E3948" s="13" t="n"/>
    </row>
    <row r="3949">
      <c r="E3949" s="13" t="n"/>
    </row>
    <row r="3950">
      <c r="E3950" s="13" t="n"/>
    </row>
    <row r="3951">
      <c r="E3951" s="13" t="n"/>
    </row>
    <row r="3952">
      <c r="E3952" s="13" t="n"/>
    </row>
    <row r="3953">
      <c r="E3953" s="13" t="n"/>
    </row>
    <row r="3954">
      <c r="E3954" s="13" t="n"/>
    </row>
    <row r="3955">
      <c r="E3955" s="13" t="n"/>
    </row>
    <row r="3956">
      <c r="E3956" s="13" t="n"/>
    </row>
    <row r="3957">
      <c r="E3957" s="13" t="n"/>
    </row>
    <row r="3958">
      <c r="E3958" s="13" t="n"/>
    </row>
    <row r="3959">
      <c r="E3959" s="13" t="n"/>
    </row>
    <row r="3960">
      <c r="E3960" s="13" t="n"/>
    </row>
    <row r="3961">
      <c r="E3961" s="13" t="n"/>
    </row>
    <row r="3962">
      <c r="E3962" s="13" t="n"/>
    </row>
    <row r="3963">
      <c r="E3963" s="13" t="n"/>
    </row>
    <row r="3964">
      <c r="E3964" s="13" t="n"/>
    </row>
    <row r="3965">
      <c r="E3965" s="13" t="n"/>
    </row>
    <row r="3966">
      <c r="E3966" s="13" t="n"/>
    </row>
    <row r="3967">
      <c r="E3967" s="13" t="n"/>
    </row>
    <row r="3968">
      <c r="E3968" s="13" t="n"/>
    </row>
    <row r="3969">
      <c r="E3969" s="13" t="n"/>
    </row>
    <row r="3970">
      <c r="E3970" s="13" t="n"/>
    </row>
    <row r="3971">
      <c r="E3971" s="13" t="n"/>
    </row>
    <row r="3972">
      <c r="E3972" s="13" t="n"/>
    </row>
    <row r="3973">
      <c r="E3973" s="13" t="n"/>
    </row>
    <row r="3974">
      <c r="E3974" s="13" t="n"/>
    </row>
    <row r="3975">
      <c r="E3975" s="13" t="n"/>
    </row>
    <row r="3976">
      <c r="E3976" s="13" t="n"/>
    </row>
    <row r="3977">
      <c r="E3977" s="13" t="n"/>
    </row>
    <row r="3978">
      <c r="E3978" s="13" t="n"/>
    </row>
    <row r="3979">
      <c r="E3979" s="13" t="n"/>
    </row>
    <row r="3980">
      <c r="E3980" s="13" t="n"/>
    </row>
    <row r="3981">
      <c r="E3981" s="13" t="n"/>
    </row>
    <row r="3982">
      <c r="E3982" s="13" t="n"/>
    </row>
    <row r="3983">
      <c r="E3983" s="13" t="n"/>
    </row>
    <row r="3984">
      <c r="E3984" s="13" t="n"/>
    </row>
    <row r="3985">
      <c r="E3985" s="13" t="n"/>
    </row>
    <row r="3986">
      <c r="E3986" s="13" t="n"/>
    </row>
    <row r="3987">
      <c r="E3987" s="13" t="n"/>
    </row>
    <row r="3988">
      <c r="E3988" s="13" t="n"/>
    </row>
    <row r="3989">
      <c r="E3989" s="13" t="n"/>
    </row>
    <row r="3990">
      <c r="E3990" s="13" t="n"/>
    </row>
    <row r="3991">
      <c r="E3991" s="13" t="n"/>
    </row>
    <row r="3992">
      <c r="E3992" s="13" t="n"/>
    </row>
    <row r="3993">
      <c r="E3993" s="13" t="n"/>
    </row>
    <row r="3994">
      <c r="E3994" s="13" t="n"/>
    </row>
    <row r="3995">
      <c r="E3995" s="13" t="n"/>
    </row>
    <row r="3996">
      <c r="E3996" s="13" t="n"/>
    </row>
    <row r="3997">
      <c r="E3997" s="13" t="n"/>
    </row>
    <row r="3998">
      <c r="E3998" s="13" t="n"/>
    </row>
    <row r="3999">
      <c r="E3999" s="13" t="n"/>
    </row>
    <row r="4000">
      <c r="E4000" s="13" t="n"/>
    </row>
    <row r="4001">
      <c r="E4001" s="13" t="n"/>
    </row>
    <row r="4002">
      <c r="E4002" s="13" t="n"/>
    </row>
    <row r="4003">
      <c r="E4003" s="13" t="n"/>
    </row>
    <row r="4004">
      <c r="E4004" s="13" t="n"/>
    </row>
    <row r="4005">
      <c r="E4005" s="13" t="n"/>
    </row>
    <row r="4006">
      <c r="E4006" s="13" t="n"/>
    </row>
    <row r="4007">
      <c r="E4007" s="13" t="n"/>
    </row>
    <row r="4008">
      <c r="E4008" s="13" t="n"/>
    </row>
    <row r="4009">
      <c r="E4009" s="13" t="n"/>
    </row>
    <row r="4010">
      <c r="E4010" s="13" t="n"/>
    </row>
    <row r="4011">
      <c r="E4011" s="13" t="n"/>
    </row>
    <row r="4012">
      <c r="E4012" s="13" t="n"/>
    </row>
    <row r="4013">
      <c r="E4013" s="13" t="n"/>
    </row>
    <row r="4014">
      <c r="E4014" s="13" t="n"/>
    </row>
    <row r="4015">
      <c r="E4015" s="13" t="n"/>
    </row>
    <row r="4016">
      <c r="E4016" s="13" t="n"/>
    </row>
    <row r="4017">
      <c r="E4017" s="13" t="n"/>
    </row>
    <row r="4018">
      <c r="E4018" s="13" t="n"/>
    </row>
    <row r="4019">
      <c r="E4019" s="13" t="n"/>
    </row>
    <row r="4020">
      <c r="E4020" s="13" t="n"/>
    </row>
    <row r="4021">
      <c r="E4021" s="13" t="n"/>
    </row>
    <row r="4022">
      <c r="E4022" s="13" t="n"/>
    </row>
    <row r="4023">
      <c r="E4023" s="13" t="n"/>
    </row>
    <row r="4024">
      <c r="E4024" s="13" t="n"/>
    </row>
    <row r="4025">
      <c r="E4025" s="13" t="n"/>
    </row>
    <row r="4026">
      <c r="E4026" s="13" t="n"/>
    </row>
    <row r="4027">
      <c r="E4027" s="13" t="n"/>
    </row>
    <row r="4028">
      <c r="E4028" s="13" t="n"/>
    </row>
    <row r="4029">
      <c r="E4029" s="13" t="n"/>
    </row>
    <row r="4030">
      <c r="E4030" s="13" t="n"/>
    </row>
    <row r="4031">
      <c r="E4031" s="13" t="n"/>
    </row>
    <row r="4032">
      <c r="E4032" s="13" t="n"/>
    </row>
    <row r="4033">
      <c r="E4033" s="13" t="n"/>
    </row>
    <row r="4034">
      <c r="E4034" s="13" t="n"/>
    </row>
    <row r="4035">
      <c r="E4035" s="13" t="n"/>
    </row>
    <row r="4036">
      <c r="E4036" s="13" t="n"/>
    </row>
    <row r="4037">
      <c r="E4037" s="13" t="n"/>
    </row>
    <row r="4038">
      <c r="E4038" s="13" t="n"/>
    </row>
    <row r="4039">
      <c r="E4039" s="13" t="n"/>
    </row>
    <row r="4040">
      <c r="E4040" s="13" t="n"/>
    </row>
    <row r="4041">
      <c r="E4041" s="13" t="n"/>
    </row>
    <row r="4042">
      <c r="E4042" s="13" t="n"/>
    </row>
    <row r="4043">
      <c r="E4043" s="13" t="n"/>
    </row>
    <row r="4044">
      <c r="E4044" s="13" t="n"/>
    </row>
    <row r="4045">
      <c r="E4045" s="13" t="n"/>
    </row>
    <row r="4046">
      <c r="E4046" s="13" t="n"/>
    </row>
    <row r="4047">
      <c r="E4047" s="13" t="n"/>
    </row>
    <row r="4048">
      <c r="E4048" s="13" t="n"/>
    </row>
    <row r="4049">
      <c r="E4049" s="13" t="n"/>
    </row>
    <row r="4050">
      <c r="E4050" s="13" t="n"/>
    </row>
    <row r="4051">
      <c r="E4051" s="13" t="n"/>
    </row>
    <row r="4052">
      <c r="E4052" s="13" t="n"/>
    </row>
    <row r="4053">
      <c r="E4053" s="13" t="n"/>
    </row>
    <row r="4054">
      <c r="E4054" s="13" t="n"/>
    </row>
    <row r="4055">
      <c r="E4055" s="13" t="n"/>
    </row>
    <row r="4056">
      <c r="E4056" s="13" t="n"/>
    </row>
    <row r="4057">
      <c r="E4057" s="13" t="n"/>
    </row>
    <row r="4058">
      <c r="E4058" s="13" t="n"/>
    </row>
    <row r="4059">
      <c r="E4059" s="13" t="n"/>
    </row>
    <row r="4060">
      <c r="E4060" s="13" t="n"/>
    </row>
    <row r="4061">
      <c r="E4061" s="13" t="n"/>
    </row>
    <row r="4062">
      <c r="E4062" s="13" t="n"/>
    </row>
    <row r="4063">
      <c r="E4063" s="13" t="n"/>
    </row>
    <row r="4064">
      <c r="E4064" s="13" t="n"/>
    </row>
    <row r="4065">
      <c r="E4065" s="13" t="n"/>
    </row>
    <row r="4066">
      <c r="E4066" s="13" t="n"/>
    </row>
    <row r="4067">
      <c r="E4067" s="13" t="n"/>
    </row>
    <row r="4068">
      <c r="E4068" s="13" t="n"/>
    </row>
    <row r="4069">
      <c r="E4069" s="13" t="n"/>
    </row>
    <row r="4070">
      <c r="E4070" s="13" t="n"/>
    </row>
    <row r="4071">
      <c r="E4071" s="13" t="n"/>
    </row>
    <row r="4072">
      <c r="E4072" s="13" t="n"/>
    </row>
    <row r="4073">
      <c r="E4073" s="13" t="n"/>
    </row>
    <row r="4074">
      <c r="E4074" s="13" t="n"/>
    </row>
    <row r="4075">
      <c r="E4075" s="13" t="n"/>
    </row>
    <row r="4076">
      <c r="E4076" s="13" t="n"/>
    </row>
    <row r="4077">
      <c r="E4077" s="13" t="n"/>
    </row>
    <row r="4078">
      <c r="E4078" s="13" t="n"/>
    </row>
    <row r="4079">
      <c r="E4079" s="13" t="n"/>
    </row>
    <row r="4080">
      <c r="E4080" s="13" t="n"/>
    </row>
    <row r="4081">
      <c r="E4081" s="13" t="n"/>
    </row>
    <row r="4082">
      <c r="E4082" s="13" t="n"/>
    </row>
    <row r="4083">
      <c r="E4083" s="13" t="n"/>
    </row>
    <row r="4084">
      <c r="E4084" s="13" t="n"/>
    </row>
    <row r="4085">
      <c r="E4085" s="13" t="n"/>
    </row>
    <row r="4086">
      <c r="E4086" s="13" t="n"/>
    </row>
    <row r="4087">
      <c r="E4087" s="13" t="n"/>
    </row>
    <row r="4088">
      <c r="E4088" s="13" t="n"/>
    </row>
    <row r="4089">
      <c r="E4089" s="13" t="n"/>
    </row>
    <row r="4090">
      <c r="E4090" s="13" t="n"/>
    </row>
    <row r="4091">
      <c r="E4091" s="13" t="n"/>
    </row>
    <row r="4092">
      <c r="E4092" s="13" t="n"/>
    </row>
    <row r="4093">
      <c r="E4093" s="13" t="n"/>
    </row>
    <row r="4094">
      <c r="E4094" s="13" t="n"/>
    </row>
    <row r="4095">
      <c r="E4095" s="13" t="n"/>
    </row>
    <row r="4096">
      <c r="E4096" s="13" t="n"/>
    </row>
    <row r="4097">
      <c r="E4097" s="13" t="n"/>
    </row>
    <row r="4098">
      <c r="E4098" s="13" t="n"/>
    </row>
    <row r="4099">
      <c r="E4099" s="13" t="n"/>
    </row>
    <row r="4100">
      <c r="E4100" s="13" t="n"/>
    </row>
    <row r="4101">
      <c r="E4101" s="13" t="n"/>
    </row>
    <row r="4102">
      <c r="E4102" s="13" t="n"/>
    </row>
    <row r="4103">
      <c r="E4103" s="13" t="n"/>
    </row>
    <row r="4104">
      <c r="E4104" s="13" t="n"/>
    </row>
    <row r="4105">
      <c r="E4105" s="13" t="n"/>
    </row>
    <row r="4106">
      <c r="E4106" s="13" t="n"/>
    </row>
    <row r="4107">
      <c r="E4107" s="13" t="n"/>
    </row>
    <row r="4108">
      <c r="E4108" s="13" t="n"/>
    </row>
    <row r="4109">
      <c r="E4109" s="13" t="n"/>
    </row>
    <row r="4110">
      <c r="E4110" s="13" t="n"/>
    </row>
    <row r="4111">
      <c r="E4111" s="13" t="n"/>
    </row>
    <row r="4112">
      <c r="E4112" s="13" t="n"/>
    </row>
    <row r="4113">
      <c r="E4113" s="13" t="n"/>
    </row>
    <row r="4114">
      <c r="E4114" s="13" t="n"/>
    </row>
    <row r="4115">
      <c r="E4115" s="13" t="n"/>
    </row>
    <row r="4116">
      <c r="E4116" s="13" t="n"/>
    </row>
    <row r="4117">
      <c r="E4117" s="13" t="n"/>
    </row>
    <row r="4118">
      <c r="E4118" s="13" t="n"/>
    </row>
    <row r="4119">
      <c r="E4119" s="13" t="n"/>
    </row>
    <row r="4120">
      <c r="E4120" s="13" t="n"/>
    </row>
    <row r="4121">
      <c r="E4121" s="13" t="n"/>
    </row>
    <row r="4122">
      <c r="E4122" s="13" t="n"/>
    </row>
    <row r="4123">
      <c r="E4123" s="13" t="n"/>
    </row>
    <row r="4124">
      <c r="E4124" s="13" t="n"/>
    </row>
    <row r="4125">
      <c r="E4125" s="13" t="n"/>
    </row>
    <row r="4126">
      <c r="E4126" s="13" t="n"/>
    </row>
    <row r="4127">
      <c r="E4127" s="13" t="n"/>
    </row>
    <row r="4128">
      <c r="E4128" s="13" t="n"/>
    </row>
    <row r="4129">
      <c r="E4129" s="13" t="n"/>
    </row>
    <row r="4130">
      <c r="E4130" s="13" t="n"/>
    </row>
    <row r="4131">
      <c r="E4131" s="13" t="n"/>
    </row>
    <row r="4132">
      <c r="E4132" s="13" t="n"/>
    </row>
    <row r="4133">
      <c r="E4133" s="13" t="n"/>
    </row>
    <row r="4134">
      <c r="E4134" s="13" t="n"/>
    </row>
    <row r="4135">
      <c r="E4135" s="13" t="n"/>
    </row>
    <row r="4136">
      <c r="E4136" s="13" t="n"/>
    </row>
    <row r="4137">
      <c r="E4137" s="13" t="n"/>
    </row>
    <row r="4138">
      <c r="E4138" s="13" t="n"/>
    </row>
    <row r="4139">
      <c r="E4139" s="13" t="n"/>
    </row>
    <row r="4140">
      <c r="E4140" s="13" t="n"/>
    </row>
    <row r="4141">
      <c r="E4141" s="13" t="n"/>
    </row>
    <row r="4142">
      <c r="E4142" s="13" t="n"/>
    </row>
    <row r="4143">
      <c r="E4143" s="13" t="n"/>
    </row>
    <row r="4144">
      <c r="E4144" s="13" t="n"/>
    </row>
    <row r="4145">
      <c r="E4145" s="13" t="n"/>
    </row>
    <row r="4146">
      <c r="E4146" s="13" t="n"/>
    </row>
    <row r="4147">
      <c r="E4147" s="13" t="n"/>
    </row>
    <row r="4148">
      <c r="E4148" s="13" t="n"/>
    </row>
    <row r="4149">
      <c r="E4149" s="13" t="n"/>
    </row>
    <row r="4150">
      <c r="E4150" s="13" t="n"/>
    </row>
    <row r="4151">
      <c r="E4151" s="13" t="n"/>
    </row>
    <row r="4152">
      <c r="E4152" s="13" t="n"/>
    </row>
    <row r="4153">
      <c r="E4153" s="13" t="n"/>
    </row>
    <row r="4154">
      <c r="E4154" s="13" t="n"/>
    </row>
    <row r="4155">
      <c r="E4155" s="13" t="n"/>
    </row>
    <row r="4156">
      <c r="E4156" s="13" t="n"/>
    </row>
    <row r="4157">
      <c r="E4157" s="13" t="n"/>
    </row>
    <row r="4158">
      <c r="E4158" s="13" t="n"/>
    </row>
    <row r="4159">
      <c r="E4159" s="13" t="n"/>
    </row>
    <row r="4160">
      <c r="E4160" s="13" t="n"/>
    </row>
    <row r="4161">
      <c r="E4161" s="13" t="n"/>
    </row>
    <row r="4162">
      <c r="E4162" s="13" t="n"/>
    </row>
    <row r="4163">
      <c r="E4163" s="13" t="n"/>
    </row>
    <row r="4164">
      <c r="E4164" s="13" t="n"/>
    </row>
    <row r="4165">
      <c r="E4165" s="13" t="n"/>
    </row>
    <row r="4166">
      <c r="E4166" s="13" t="n"/>
    </row>
    <row r="4167">
      <c r="E4167" s="13" t="n"/>
    </row>
    <row r="4168">
      <c r="E4168" s="13" t="n"/>
    </row>
    <row r="4169">
      <c r="E4169" s="13" t="n"/>
    </row>
    <row r="4170">
      <c r="E4170" s="13" t="n"/>
    </row>
    <row r="4171">
      <c r="E4171" s="13" t="n"/>
    </row>
    <row r="4172">
      <c r="E4172" s="13" t="n"/>
    </row>
    <row r="4173">
      <c r="E4173" s="13" t="n"/>
    </row>
    <row r="4174">
      <c r="E4174" s="13" t="n"/>
    </row>
    <row r="4175">
      <c r="E4175" s="13" t="n"/>
    </row>
    <row r="4176">
      <c r="E4176" s="13" t="n"/>
    </row>
    <row r="4177">
      <c r="E4177" s="13" t="n"/>
    </row>
    <row r="4178">
      <c r="E4178" s="13" t="n"/>
    </row>
    <row r="4179">
      <c r="E4179" s="13" t="n"/>
    </row>
    <row r="4180">
      <c r="E4180" s="13" t="n"/>
    </row>
    <row r="4181">
      <c r="E4181" s="13" t="n"/>
    </row>
    <row r="4182">
      <c r="E4182" s="13" t="n"/>
    </row>
    <row r="4183">
      <c r="E4183" s="13" t="n"/>
    </row>
    <row r="4184">
      <c r="E4184" s="13" t="n"/>
    </row>
    <row r="4185">
      <c r="E4185" s="13" t="n"/>
    </row>
    <row r="4186">
      <c r="E4186" s="13" t="n"/>
    </row>
    <row r="4187">
      <c r="E4187" s="13" t="n"/>
    </row>
    <row r="4188">
      <c r="E4188" s="13" t="n"/>
    </row>
    <row r="4189">
      <c r="E4189" s="13" t="n"/>
    </row>
    <row r="4190">
      <c r="E4190" s="13" t="n"/>
    </row>
    <row r="4191">
      <c r="E4191" s="13" t="n"/>
    </row>
    <row r="4192">
      <c r="E4192" s="13" t="n"/>
    </row>
    <row r="4193">
      <c r="E4193" s="13" t="n"/>
    </row>
    <row r="4194">
      <c r="E4194" s="13" t="n"/>
    </row>
    <row r="4195">
      <c r="E4195" s="13" t="n"/>
    </row>
    <row r="4196">
      <c r="E4196" s="13" t="n"/>
    </row>
    <row r="4197">
      <c r="E4197" s="13" t="n"/>
    </row>
    <row r="4198">
      <c r="E4198" s="13" t="n"/>
    </row>
    <row r="4199">
      <c r="E4199" s="13" t="n"/>
    </row>
    <row r="4200">
      <c r="E4200" s="13" t="n"/>
    </row>
    <row r="4201">
      <c r="E4201" s="13" t="n"/>
    </row>
    <row r="4202">
      <c r="E4202" s="13" t="n"/>
    </row>
    <row r="4203">
      <c r="E4203" s="13" t="n"/>
    </row>
    <row r="4204">
      <c r="E4204" s="13" t="n"/>
    </row>
    <row r="4205">
      <c r="E4205" s="13" t="n"/>
    </row>
    <row r="4206">
      <c r="E4206" s="13" t="n"/>
    </row>
    <row r="4207">
      <c r="E4207" s="13" t="n"/>
    </row>
    <row r="4208">
      <c r="E4208" s="13" t="n"/>
    </row>
    <row r="4209">
      <c r="E4209" s="13" t="n"/>
    </row>
    <row r="4210">
      <c r="E4210" s="13" t="n"/>
    </row>
    <row r="4211">
      <c r="E4211" s="13" t="n"/>
    </row>
    <row r="4212">
      <c r="E4212" s="13" t="n"/>
    </row>
    <row r="4213">
      <c r="E4213" s="13" t="n"/>
    </row>
    <row r="4214">
      <c r="E4214" s="13" t="n"/>
    </row>
    <row r="4215">
      <c r="E4215" s="13" t="n"/>
    </row>
    <row r="4216">
      <c r="E4216" s="13" t="n"/>
    </row>
    <row r="4217">
      <c r="E4217" s="13" t="n"/>
    </row>
    <row r="4218">
      <c r="E4218" s="13" t="n"/>
    </row>
    <row r="4219">
      <c r="E4219" s="13" t="n"/>
    </row>
    <row r="4220">
      <c r="E4220" s="13" t="n"/>
    </row>
    <row r="4221">
      <c r="E4221" s="13" t="n"/>
    </row>
    <row r="4222">
      <c r="E4222" s="13" t="n"/>
    </row>
    <row r="4223">
      <c r="E4223" s="13" t="n"/>
    </row>
    <row r="4224">
      <c r="E4224" s="13" t="n"/>
    </row>
    <row r="4225">
      <c r="E4225" s="13" t="n"/>
    </row>
    <row r="4226">
      <c r="E4226" s="13" t="n"/>
    </row>
    <row r="4227">
      <c r="E4227" s="13" t="n"/>
    </row>
    <row r="4228">
      <c r="E4228" s="13" t="n"/>
    </row>
    <row r="4229">
      <c r="E4229" s="13" t="n"/>
    </row>
    <row r="4230">
      <c r="E4230" s="13" t="n"/>
    </row>
    <row r="4231">
      <c r="E4231" s="13" t="n"/>
    </row>
    <row r="4232">
      <c r="E4232" s="13" t="n"/>
    </row>
    <row r="4233">
      <c r="E4233" s="13" t="n"/>
    </row>
    <row r="4234">
      <c r="E4234" s="13" t="n"/>
    </row>
    <row r="4235">
      <c r="E4235" s="13" t="n"/>
    </row>
    <row r="4236">
      <c r="E4236" s="13" t="n"/>
    </row>
    <row r="4237">
      <c r="E4237" s="13" t="n"/>
    </row>
    <row r="4238">
      <c r="E4238" s="13" t="n"/>
    </row>
    <row r="4239">
      <c r="E4239" s="13" t="n"/>
    </row>
    <row r="4240">
      <c r="E4240" s="13" t="n"/>
    </row>
    <row r="4241">
      <c r="E4241" s="13" t="n"/>
    </row>
    <row r="4242">
      <c r="E4242" s="13" t="n"/>
    </row>
    <row r="4243">
      <c r="E4243" s="13" t="n"/>
    </row>
    <row r="4244">
      <c r="E4244" s="13" t="n"/>
    </row>
    <row r="4245">
      <c r="E4245" s="13" t="n"/>
    </row>
    <row r="4246">
      <c r="E4246" s="13" t="n"/>
    </row>
    <row r="4247">
      <c r="E4247" s="13" t="n"/>
    </row>
    <row r="4248">
      <c r="E4248" s="13" t="n"/>
    </row>
    <row r="4249">
      <c r="E4249" s="13" t="n"/>
    </row>
    <row r="4250">
      <c r="E4250" s="13" t="n"/>
    </row>
    <row r="4251">
      <c r="E4251" s="13" t="n"/>
    </row>
    <row r="4252">
      <c r="E4252" s="13" t="n"/>
    </row>
    <row r="4253">
      <c r="E4253" s="13" t="n"/>
    </row>
    <row r="4254">
      <c r="E4254" s="13" t="n"/>
    </row>
    <row r="4255">
      <c r="E4255" s="13" t="n"/>
    </row>
    <row r="4256">
      <c r="E4256" s="13" t="n"/>
    </row>
    <row r="4257">
      <c r="E4257" s="13" t="n"/>
    </row>
    <row r="4258">
      <c r="E4258" s="13" t="n"/>
    </row>
    <row r="4259">
      <c r="E4259" s="13" t="n"/>
    </row>
    <row r="4260">
      <c r="E4260" s="13" t="n"/>
    </row>
    <row r="4261">
      <c r="E4261" s="13" t="n"/>
    </row>
    <row r="4262">
      <c r="E4262" s="13" t="n"/>
    </row>
    <row r="4263">
      <c r="E4263" s="13" t="n"/>
    </row>
    <row r="4264">
      <c r="E4264" s="13" t="n"/>
    </row>
    <row r="4265">
      <c r="E4265" s="13" t="n"/>
    </row>
    <row r="4266">
      <c r="E4266" s="13" t="n"/>
    </row>
    <row r="4267">
      <c r="E4267" s="13" t="n"/>
    </row>
    <row r="4268">
      <c r="E4268" s="13" t="n"/>
    </row>
    <row r="4269">
      <c r="E4269" s="13" t="n"/>
    </row>
    <row r="4270">
      <c r="E4270" s="13" t="n"/>
    </row>
    <row r="4271">
      <c r="E4271" s="13" t="n"/>
    </row>
    <row r="4272">
      <c r="E4272" s="13" t="n"/>
    </row>
    <row r="4273">
      <c r="E4273" s="13" t="n"/>
    </row>
    <row r="4274">
      <c r="E4274" s="13" t="n"/>
    </row>
    <row r="4275">
      <c r="E4275" s="13" t="n"/>
    </row>
    <row r="4276">
      <c r="E4276" s="13" t="n"/>
    </row>
    <row r="4277">
      <c r="E4277" s="13" t="n"/>
    </row>
    <row r="4278">
      <c r="E4278" s="13" t="n"/>
    </row>
    <row r="4279">
      <c r="E4279" s="13" t="n"/>
    </row>
    <row r="4280">
      <c r="E4280" s="13" t="n"/>
    </row>
    <row r="4281">
      <c r="E4281" s="13" t="n"/>
    </row>
    <row r="4282">
      <c r="E4282" s="13" t="n"/>
    </row>
    <row r="4283">
      <c r="E4283" s="13" t="n"/>
    </row>
    <row r="4284">
      <c r="E4284" s="13" t="n"/>
    </row>
    <row r="4285">
      <c r="E4285" s="13" t="n"/>
    </row>
    <row r="4286">
      <c r="E4286" s="13" t="n"/>
    </row>
    <row r="4287">
      <c r="E4287" s="13" t="n"/>
    </row>
    <row r="4288">
      <c r="E4288" s="13" t="n"/>
    </row>
    <row r="4289">
      <c r="E4289" s="13" t="n"/>
    </row>
    <row r="4290">
      <c r="E4290" s="13" t="n"/>
    </row>
    <row r="4291">
      <c r="E4291" s="13" t="n"/>
    </row>
    <row r="4292">
      <c r="E4292" s="13" t="n"/>
    </row>
    <row r="4293">
      <c r="E4293" s="13" t="n"/>
    </row>
    <row r="4294">
      <c r="E4294" s="13" t="n"/>
    </row>
    <row r="4295">
      <c r="E4295" s="13" t="n"/>
    </row>
    <row r="4296">
      <c r="E4296" s="13" t="n"/>
    </row>
    <row r="4297">
      <c r="E4297" s="13" t="n"/>
    </row>
    <row r="4298">
      <c r="E4298" s="13" t="n"/>
    </row>
    <row r="4299">
      <c r="E4299" s="13" t="n"/>
    </row>
    <row r="4300">
      <c r="E4300" s="13" t="n"/>
    </row>
    <row r="4301">
      <c r="E4301" s="13" t="n"/>
    </row>
    <row r="4302">
      <c r="E4302" s="13" t="n"/>
    </row>
    <row r="4303">
      <c r="E4303" s="13" t="n"/>
    </row>
    <row r="4304">
      <c r="E4304" s="13" t="n"/>
    </row>
    <row r="4305">
      <c r="E4305" s="13" t="n"/>
    </row>
    <row r="4306">
      <c r="E4306" s="13" t="n"/>
    </row>
    <row r="4307">
      <c r="E4307" s="13" t="n"/>
    </row>
    <row r="4308">
      <c r="E4308" s="13" t="n"/>
    </row>
    <row r="4309">
      <c r="E4309" s="13" t="n"/>
    </row>
    <row r="4310">
      <c r="E4310" s="13" t="n"/>
    </row>
    <row r="4311">
      <c r="E4311" s="13" t="n"/>
    </row>
    <row r="4312">
      <c r="E4312" s="13" t="n"/>
    </row>
    <row r="4313">
      <c r="E4313" s="13" t="n"/>
    </row>
    <row r="4314">
      <c r="E4314" s="13" t="n"/>
    </row>
    <row r="4315">
      <c r="E4315" s="13" t="n"/>
    </row>
    <row r="4316">
      <c r="E4316" s="13" t="n"/>
    </row>
    <row r="4317">
      <c r="E4317" s="13" t="n"/>
    </row>
    <row r="4318">
      <c r="E4318" s="13" t="n"/>
    </row>
    <row r="4319">
      <c r="E4319" s="13" t="n"/>
    </row>
    <row r="4320">
      <c r="E4320" s="13" t="n"/>
    </row>
    <row r="4321">
      <c r="E4321" s="13" t="n"/>
    </row>
    <row r="4322">
      <c r="E4322" s="13" t="n"/>
    </row>
    <row r="4323">
      <c r="E4323" s="13" t="n"/>
    </row>
    <row r="4324">
      <c r="E4324" s="13" t="n"/>
    </row>
    <row r="4325">
      <c r="E4325" s="13" t="n"/>
    </row>
    <row r="4326">
      <c r="E4326" s="13" t="n"/>
    </row>
    <row r="4327">
      <c r="E4327" s="13" t="n"/>
    </row>
    <row r="4328">
      <c r="E4328" s="13" t="n"/>
    </row>
    <row r="4329">
      <c r="E4329" s="13" t="n"/>
    </row>
    <row r="4330">
      <c r="E4330" s="13" t="n"/>
    </row>
    <row r="4331">
      <c r="E4331" s="13" t="n"/>
    </row>
    <row r="4332">
      <c r="E4332" s="13" t="n"/>
    </row>
    <row r="4333">
      <c r="E4333" s="13" t="n"/>
    </row>
    <row r="4334">
      <c r="E4334" s="13" t="n"/>
    </row>
    <row r="4335">
      <c r="E4335" s="13" t="n"/>
    </row>
    <row r="4336">
      <c r="E4336" s="13" t="n"/>
    </row>
    <row r="4337">
      <c r="E4337" s="13" t="n"/>
    </row>
    <row r="4338">
      <c r="E4338" s="13" t="n"/>
    </row>
    <row r="4339">
      <c r="E4339" s="13" t="n"/>
    </row>
    <row r="4340">
      <c r="E4340" s="13" t="n"/>
    </row>
    <row r="4341">
      <c r="E4341" s="13" t="n"/>
    </row>
    <row r="4342">
      <c r="E4342" s="13" t="n"/>
    </row>
    <row r="4343">
      <c r="E4343" s="13" t="n"/>
    </row>
    <row r="4344">
      <c r="E4344" s="13" t="n"/>
    </row>
    <row r="4345">
      <c r="E4345" s="13" t="n"/>
    </row>
    <row r="4346">
      <c r="E4346" s="13" t="n"/>
    </row>
    <row r="4347">
      <c r="E4347" s="13" t="n"/>
    </row>
    <row r="4348">
      <c r="E4348" s="13" t="n"/>
    </row>
    <row r="4349">
      <c r="E4349" s="13" t="n"/>
    </row>
    <row r="4350">
      <c r="E4350" s="13" t="n"/>
    </row>
    <row r="4351">
      <c r="E4351" s="13" t="n"/>
    </row>
    <row r="4352">
      <c r="E4352" s="13" t="n"/>
    </row>
    <row r="4353">
      <c r="E4353" s="13" t="n"/>
    </row>
    <row r="4354">
      <c r="E4354" s="13" t="n"/>
    </row>
    <row r="4355">
      <c r="E4355" s="13" t="n"/>
    </row>
    <row r="4356">
      <c r="E4356" s="13" t="n"/>
    </row>
    <row r="4357">
      <c r="E4357" s="13" t="n"/>
    </row>
    <row r="4358">
      <c r="E4358" s="13" t="n"/>
    </row>
    <row r="4359">
      <c r="E4359" s="13" t="n"/>
    </row>
    <row r="4360">
      <c r="E4360" s="13" t="n"/>
    </row>
    <row r="4361">
      <c r="E4361" s="13" t="n"/>
    </row>
    <row r="4362">
      <c r="E4362" s="13" t="n"/>
    </row>
    <row r="4363">
      <c r="E4363" s="13" t="n"/>
    </row>
    <row r="4364">
      <c r="E4364" s="13" t="n"/>
    </row>
    <row r="4365">
      <c r="E4365" s="13" t="n"/>
    </row>
    <row r="4366">
      <c r="E4366" s="13" t="n"/>
    </row>
    <row r="4367">
      <c r="E4367" s="13" t="n"/>
    </row>
    <row r="4368">
      <c r="E4368" s="13" t="n"/>
    </row>
    <row r="4369">
      <c r="E4369" s="13" t="n"/>
    </row>
    <row r="4370">
      <c r="E4370" s="13" t="n"/>
    </row>
    <row r="4371">
      <c r="E4371" s="13" t="n"/>
    </row>
    <row r="4372">
      <c r="E4372" s="13" t="n"/>
    </row>
    <row r="4373">
      <c r="E4373" s="13" t="n"/>
    </row>
    <row r="4374">
      <c r="E4374" s="13" t="n"/>
    </row>
    <row r="4375">
      <c r="E4375" s="13" t="n"/>
    </row>
    <row r="4376">
      <c r="E4376" s="13" t="n"/>
    </row>
    <row r="4377">
      <c r="E4377" s="13" t="n"/>
    </row>
    <row r="4378">
      <c r="E4378" s="13" t="n"/>
    </row>
    <row r="4379">
      <c r="E4379" s="13" t="n"/>
    </row>
    <row r="4380">
      <c r="E4380" s="13" t="n"/>
    </row>
    <row r="4381">
      <c r="E4381" s="13" t="n"/>
    </row>
    <row r="4382">
      <c r="E4382" s="13" t="n"/>
    </row>
    <row r="4383">
      <c r="E4383" s="13" t="n"/>
    </row>
    <row r="4384">
      <c r="E4384" s="13" t="n"/>
    </row>
    <row r="4385">
      <c r="E4385" s="13" t="n"/>
    </row>
    <row r="4386">
      <c r="E4386" s="13" t="n"/>
    </row>
    <row r="4387">
      <c r="E4387" s="13" t="n"/>
    </row>
    <row r="4388">
      <c r="E4388" s="13" t="n"/>
    </row>
    <row r="4389">
      <c r="E4389" s="13" t="n"/>
    </row>
    <row r="4390">
      <c r="E4390" s="13" t="n"/>
    </row>
    <row r="4391">
      <c r="E4391" s="13" t="n"/>
    </row>
    <row r="4392">
      <c r="E4392" s="13" t="n"/>
    </row>
    <row r="4393">
      <c r="E4393" s="13" t="n"/>
    </row>
    <row r="4394">
      <c r="E4394" s="13" t="n"/>
    </row>
    <row r="4395">
      <c r="E4395" s="13" t="n"/>
    </row>
    <row r="4396">
      <c r="E4396" s="13" t="n"/>
    </row>
    <row r="4397">
      <c r="E4397" s="13" t="n"/>
    </row>
    <row r="4398">
      <c r="E4398" s="13" t="n"/>
    </row>
    <row r="4399">
      <c r="E4399" s="13" t="n"/>
    </row>
    <row r="4400">
      <c r="E4400" s="13" t="n"/>
    </row>
    <row r="4401">
      <c r="E4401" s="13" t="n"/>
    </row>
    <row r="4402">
      <c r="E4402" s="13" t="n"/>
    </row>
    <row r="4403">
      <c r="E4403" s="13" t="n"/>
    </row>
    <row r="4404">
      <c r="E4404" s="13" t="n"/>
    </row>
    <row r="4405">
      <c r="E4405" s="13" t="n"/>
    </row>
    <row r="4406">
      <c r="E4406" s="13" t="n"/>
    </row>
    <row r="4407">
      <c r="E4407" s="13" t="n"/>
    </row>
    <row r="4408">
      <c r="E4408" s="13" t="n"/>
    </row>
    <row r="4409">
      <c r="E4409" s="13" t="n"/>
    </row>
    <row r="4410">
      <c r="E4410" s="13" t="n"/>
    </row>
    <row r="4411">
      <c r="E4411" s="13" t="n"/>
    </row>
    <row r="4412">
      <c r="E4412" s="13" t="n"/>
    </row>
    <row r="4413">
      <c r="E4413" s="13" t="n"/>
    </row>
    <row r="4414">
      <c r="E4414" s="13" t="n"/>
    </row>
    <row r="4415">
      <c r="E4415" s="13" t="n"/>
    </row>
    <row r="4416">
      <c r="E4416" s="13" t="n"/>
    </row>
    <row r="4417">
      <c r="E4417" s="13" t="n"/>
    </row>
    <row r="4418">
      <c r="E4418" s="13" t="n"/>
    </row>
    <row r="4419">
      <c r="E4419" s="13" t="n"/>
    </row>
    <row r="4420">
      <c r="E4420" s="13" t="n"/>
    </row>
    <row r="4421">
      <c r="E4421" s="13" t="n"/>
    </row>
    <row r="4422">
      <c r="E4422" s="13" t="n"/>
    </row>
    <row r="4423">
      <c r="E4423" s="13" t="n"/>
    </row>
    <row r="4424">
      <c r="E4424" s="13" t="n"/>
    </row>
    <row r="4425">
      <c r="E4425" s="13" t="n"/>
    </row>
    <row r="4426">
      <c r="E4426" s="13" t="n"/>
    </row>
    <row r="4427">
      <c r="E4427" s="13" t="n"/>
    </row>
    <row r="4428">
      <c r="E4428" s="13" t="n"/>
    </row>
    <row r="4429">
      <c r="E4429" s="13" t="n"/>
    </row>
    <row r="4430">
      <c r="E4430" s="13" t="n"/>
    </row>
    <row r="4431">
      <c r="E4431" s="13" t="n"/>
    </row>
    <row r="4432">
      <c r="E4432" s="13" t="n"/>
    </row>
    <row r="4433">
      <c r="E4433" s="13" t="n"/>
    </row>
    <row r="4434">
      <c r="E4434" s="13" t="n"/>
    </row>
    <row r="4435">
      <c r="E4435" s="13" t="n"/>
    </row>
    <row r="4436">
      <c r="E4436" s="13" t="n"/>
    </row>
    <row r="4437">
      <c r="E4437" s="13" t="n"/>
    </row>
    <row r="4438">
      <c r="E4438" s="13" t="n"/>
    </row>
    <row r="4439">
      <c r="E4439" s="13" t="n"/>
    </row>
    <row r="4440">
      <c r="E4440" s="13" t="n"/>
    </row>
    <row r="4441">
      <c r="E4441" s="13" t="n"/>
    </row>
    <row r="4442">
      <c r="E4442" s="13" t="n"/>
    </row>
    <row r="4443">
      <c r="E4443" s="13" t="n"/>
    </row>
    <row r="4444">
      <c r="E4444" s="13" t="n"/>
    </row>
    <row r="4445">
      <c r="E4445" s="13" t="n"/>
    </row>
    <row r="4446">
      <c r="E4446" s="13" t="n"/>
    </row>
    <row r="4447">
      <c r="E4447" s="13" t="n"/>
    </row>
    <row r="4448">
      <c r="E4448" s="13" t="n"/>
    </row>
    <row r="4449">
      <c r="E4449" s="13" t="n"/>
    </row>
    <row r="4450">
      <c r="E4450" s="13" t="n"/>
    </row>
    <row r="4451">
      <c r="E4451" s="13" t="n"/>
    </row>
    <row r="4452">
      <c r="E4452" s="13" t="n"/>
    </row>
    <row r="4453">
      <c r="E4453" s="13" t="n"/>
    </row>
    <row r="4454">
      <c r="E4454" s="13" t="n"/>
    </row>
    <row r="4455">
      <c r="E4455" s="13" t="n"/>
    </row>
    <row r="4456">
      <c r="E4456" s="13" t="n"/>
    </row>
    <row r="4457">
      <c r="E4457" s="13" t="n"/>
    </row>
    <row r="4458">
      <c r="E4458" s="13" t="n"/>
    </row>
    <row r="4459">
      <c r="E4459" s="13" t="n"/>
    </row>
    <row r="4460">
      <c r="E4460" s="13" t="n"/>
    </row>
    <row r="4461">
      <c r="E4461" s="13" t="n"/>
    </row>
    <row r="4462">
      <c r="E4462" s="13" t="n"/>
    </row>
    <row r="4463">
      <c r="E4463" s="13" t="n"/>
    </row>
    <row r="4464">
      <c r="E4464" s="13" t="n"/>
    </row>
    <row r="4465">
      <c r="E4465" s="13" t="n"/>
    </row>
    <row r="4466">
      <c r="E4466" s="13" t="n"/>
    </row>
    <row r="4467">
      <c r="E4467" s="13" t="n"/>
    </row>
    <row r="4468">
      <c r="E4468" s="13" t="n"/>
    </row>
    <row r="4469">
      <c r="E4469" s="13" t="n"/>
    </row>
    <row r="4470">
      <c r="E4470" s="13" t="n"/>
    </row>
    <row r="4471">
      <c r="E4471" s="13" t="n"/>
    </row>
    <row r="4472">
      <c r="E4472" s="13" t="n"/>
    </row>
    <row r="4473">
      <c r="E4473" s="13" t="n"/>
    </row>
    <row r="4474">
      <c r="E4474" s="13" t="n"/>
    </row>
    <row r="4475">
      <c r="E4475" s="13" t="n"/>
    </row>
    <row r="4476">
      <c r="E4476" s="13" t="n"/>
    </row>
    <row r="4477">
      <c r="E4477" s="13" t="n"/>
    </row>
    <row r="4478">
      <c r="E4478" s="13" t="n"/>
    </row>
    <row r="4479">
      <c r="E4479" s="13" t="n"/>
    </row>
    <row r="4480">
      <c r="E4480" s="13" t="n"/>
    </row>
    <row r="4481">
      <c r="E4481" s="13" t="n"/>
    </row>
    <row r="4482">
      <c r="E4482" s="13" t="n"/>
    </row>
    <row r="4483">
      <c r="E4483" s="13" t="n"/>
    </row>
    <row r="4484">
      <c r="E4484" s="13" t="n"/>
    </row>
    <row r="4485">
      <c r="E4485" s="13" t="n"/>
    </row>
    <row r="4486">
      <c r="E4486" s="13" t="n"/>
    </row>
    <row r="4487">
      <c r="E4487" s="13" t="n"/>
    </row>
    <row r="4488">
      <c r="E4488" s="13" t="n"/>
    </row>
    <row r="4489">
      <c r="E4489" s="13" t="n"/>
    </row>
    <row r="4490">
      <c r="E4490" s="13" t="n"/>
    </row>
    <row r="4491">
      <c r="E4491" s="13" t="n"/>
    </row>
    <row r="4492">
      <c r="E4492" s="13" t="n"/>
    </row>
    <row r="4493">
      <c r="E4493" s="13" t="n"/>
    </row>
    <row r="4494">
      <c r="E4494" s="13" t="n"/>
    </row>
    <row r="4495">
      <c r="E4495" s="13" t="n"/>
    </row>
    <row r="4496">
      <c r="E4496" s="13" t="n"/>
    </row>
    <row r="4497">
      <c r="E4497" s="13" t="n"/>
    </row>
    <row r="4498">
      <c r="E4498" s="13" t="n"/>
    </row>
    <row r="4499">
      <c r="E4499" s="13" t="n"/>
    </row>
    <row r="4500">
      <c r="E4500" s="13" t="n"/>
    </row>
    <row r="4501">
      <c r="E4501" s="13" t="n"/>
    </row>
    <row r="4502">
      <c r="E4502" s="13" t="n"/>
    </row>
    <row r="4503">
      <c r="E4503" s="13" t="n"/>
    </row>
    <row r="4504">
      <c r="E4504" s="13" t="n"/>
    </row>
    <row r="4505">
      <c r="E4505" s="13" t="n"/>
    </row>
    <row r="4506">
      <c r="E4506" s="13" t="n"/>
    </row>
    <row r="4507">
      <c r="E4507" s="13" t="n"/>
    </row>
    <row r="4508">
      <c r="E4508" s="13" t="n"/>
    </row>
    <row r="4509">
      <c r="E4509" s="13" t="n"/>
    </row>
    <row r="4510">
      <c r="E4510" s="13" t="n"/>
    </row>
    <row r="4511">
      <c r="E4511" s="13" t="n"/>
    </row>
    <row r="4512">
      <c r="E4512" s="13" t="n"/>
    </row>
    <row r="4513">
      <c r="E4513" s="13" t="n"/>
    </row>
    <row r="4514">
      <c r="E4514" s="13" t="n"/>
    </row>
    <row r="4515">
      <c r="E4515" s="13" t="n"/>
    </row>
    <row r="4516">
      <c r="E4516" s="13" t="n"/>
    </row>
    <row r="4517">
      <c r="E4517" s="13" t="n"/>
    </row>
    <row r="4518">
      <c r="E4518" s="13" t="n"/>
    </row>
    <row r="4519">
      <c r="E4519" s="13" t="n"/>
    </row>
    <row r="4520">
      <c r="E4520" s="13" t="n"/>
    </row>
    <row r="4521">
      <c r="E4521" s="13" t="n"/>
    </row>
    <row r="4522">
      <c r="E4522" s="13" t="n"/>
    </row>
    <row r="4523">
      <c r="E4523" s="13" t="n"/>
    </row>
    <row r="4524">
      <c r="E4524" s="13" t="n"/>
    </row>
    <row r="4525">
      <c r="E4525" s="13" t="n"/>
    </row>
    <row r="4526">
      <c r="E4526" s="13" t="n"/>
    </row>
    <row r="4527">
      <c r="E4527" s="13" t="n"/>
    </row>
    <row r="4528">
      <c r="E4528" s="13" t="n"/>
    </row>
    <row r="4529">
      <c r="E4529" s="13" t="n"/>
    </row>
    <row r="4530">
      <c r="E4530" s="13" t="n"/>
    </row>
    <row r="4531">
      <c r="E4531" s="13" t="n"/>
    </row>
    <row r="4532">
      <c r="E4532" s="13" t="n"/>
    </row>
    <row r="4533">
      <c r="E4533" s="13" t="n"/>
    </row>
    <row r="4534">
      <c r="E4534" s="13" t="n"/>
    </row>
    <row r="4535">
      <c r="E4535" s="13" t="n"/>
    </row>
    <row r="4536">
      <c r="E4536" s="13" t="n"/>
    </row>
    <row r="4537">
      <c r="E4537" s="13" t="n"/>
    </row>
    <row r="4538">
      <c r="E4538" s="13" t="n"/>
    </row>
    <row r="4539">
      <c r="E4539" s="13" t="n"/>
    </row>
    <row r="4540">
      <c r="E4540" s="13" t="n"/>
    </row>
    <row r="4541">
      <c r="E4541" s="13" t="n"/>
    </row>
    <row r="4542">
      <c r="E4542" s="13" t="n"/>
    </row>
    <row r="4543">
      <c r="E4543" s="13" t="n"/>
    </row>
    <row r="4544">
      <c r="E4544" s="13" t="n"/>
    </row>
    <row r="4545">
      <c r="E4545" s="13" t="n"/>
    </row>
    <row r="4546">
      <c r="E4546" s="13" t="n"/>
    </row>
    <row r="4547">
      <c r="E4547" s="13" t="n"/>
    </row>
    <row r="4548">
      <c r="E4548" s="13" t="n"/>
    </row>
    <row r="4549">
      <c r="E4549" s="13" t="n"/>
    </row>
    <row r="4550">
      <c r="E4550" s="13" t="n"/>
    </row>
    <row r="4551">
      <c r="E4551" s="13" t="n"/>
    </row>
    <row r="4552">
      <c r="E4552" s="13" t="n"/>
    </row>
    <row r="4553">
      <c r="E4553" s="13" t="n"/>
    </row>
    <row r="4554">
      <c r="E4554" s="13" t="n"/>
    </row>
    <row r="4555">
      <c r="E4555" s="13" t="n"/>
    </row>
    <row r="4556">
      <c r="E4556" s="13" t="n"/>
    </row>
    <row r="4557">
      <c r="E4557" s="13" t="n"/>
    </row>
    <row r="4558">
      <c r="E4558" s="13" t="n"/>
    </row>
    <row r="4559">
      <c r="E4559" s="13" t="n"/>
    </row>
    <row r="4560">
      <c r="E4560" s="13" t="n"/>
    </row>
    <row r="4561">
      <c r="E4561" s="13" t="n"/>
    </row>
    <row r="4562">
      <c r="E4562" s="13" t="n"/>
    </row>
    <row r="4563">
      <c r="E4563" s="13" t="n"/>
    </row>
    <row r="4564">
      <c r="E4564" s="13" t="n"/>
    </row>
    <row r="4565">
      <c r="E4565" s="13" t="n"/>
    </row>
    <row r="4566">
      <c r="E4566" s="13" t="n"/>
    </row>
    <row r="4567">
      <c r="E4567" s="13" t="n"/>
    </row>
    <row r="4568">
      <c r="E4568" s="13" t="n"/>
    </row>
    <row r="4569">
      <c r="E4569" s="13" t="n"/>
    </row>
    <row r="4570">
      <c r="E4570" s="13" t="n"/>
    </row>
    <row r="4571">
      <c r="E4571" s="13" t="n"/>
    </row>
    <row r="4572">
      <c r="E4572" s="13" t="n"/>
    </row>
    <row r="4573">
      <c r="E4573" s="13" t="n"/>
    </row>
    <row r="4574">
      <c r="E4574" s="13" t="n"/>
    </row>
    <row r="4575">
      <c r="E4575" s="13" t="n"/>
    </row>
    <row r="4576">
      <c r="E4576" s="13" t="n"/>
    </row>
    <row r="4577">
      <c r="E4577" s="13" t="n"/>
    </row>
    <row r="4578">
      <c r="E4578" s="13" t="n"/>
    </row>
    <row r="4579">
      <c r="E4579" s="13" t="n"/>
    </row>
    <row r="4580">
      <c r="E4580" s="13" t="n"/>
    </row>
    <row r="4581">
      <c r="E4581" s="13" t="n"/>
    </row>
    <row r="4582">
      <c r="E4582" s="13" t="n"/>
    </row>
    <row r="4583">
      <c r="E4583" s="13" t="n"/>
    </row>
    <row r="4584">
      <c r="E4584" s="13" t="n"/>
    </row>
    <row r="4585">
      <c r="E4585" s="13" t="n"/>
    </row>
    <row r="4586">
      <c r="E4586" s="13" t="n"/>
    </row>
    <row r="4587">
      <c r="E4587" s="13" t="n"/>
    </row>
    <row r="4588">
      <c r="E4588" s="13" t="n"/>
    </row>
    <row r="4589">
      <c r="E4589" s="13" t="n"/>
    </row>
    <row r="4590">
      <c r="E4590" s="13" t="n"/>
    </row>
    <row r="4591">
      <c r="E4591" s="13" t="n"/>
    </row>
    <row r="4592">
      <c r="E4592" s="13" t="n"/>
    </row>
    <row r="4593">
      <c r="E4593" s="13" t="n"/>
    </row>
    <row r="4594">
      <c r="E4594" s="13" t="n"/>
    </row>
    <row r="4595">
      <c r="E4595" s="13" t="n"/>
    </row>
    <row r="4596">
      <c r="E4596" s="13" t="n"/>
    </row>
    <row r="4597">
      <c r="E4597" s="13" t="n"/>
    </row>
    <row r="4598">
      <c r="E4598" s="13" t="n"/>
    </row>
    <row r="4599">
      <c r="E4599" s="13" t="n"/>
    </row>
    <row r="4600">
      <c r="E4600" s="13" t="n"/>
    </row>
    <row r="4601">
      <c r="E4601" s="13" t="n"/>
    </row>
    <row r="4602">
      <c r="E4602" s="13" t="n"/>
    </row>
    <row r="4603">
      <c r="E4603" s="13" t="n"/>
    </row>
    <row r="4604">
      <c r="E4604" s="13" t="n"/>
    </row>
    <row r="4605">
      <c r="E4605" s="13" t="n"/>
    </row>
    <row r="4606">
      <c r="E4606" s="13" t="n"/>
    </row>
    <row r="4607">
      <c r="E4607" s="13" t="n"/>
    </row>
    <row r="4608">
      <c r="E4608" s="13" t="n"/>
    </row>
    <row r="4609">
      <c r="E4609" s="13" t="n"/>
    </row>
    <row r="4610">
      <c r="E4610" s="13" t="n"/>
    </row>
    <row r="4611">
      <c r="E4611" s="13" t="n"/>
    </row>
    <row r="4612">
      <c r="E4612" s="13" t="n"/>
    </row>
    <row r="4613">
      <c r="E4613" s="13" t="n"/>
    </row>
    <row r="4614">
      <c r="E4614" s="13" t="n"/>
    </row>
    <row r="4615">
      <c r="E4615" s="13" t="n"/>
    </row>
    <row r="4616">
      <c r="E4616" s="13" t="n"/>
    </row>
    <row r="4617">
      <c r="E4617" s="13" t="n"/>
    </row>
    <row r="4618">
      <c r="E4618" s="13" t="n"/>
    </row>
    <row r="4619">
      <c r="E4619" s="13" t="n"/>
    </row>
    <row r="4620">
      <c r="E4620" s="13" t="n"/>
    </row>
    <row r="4621">
      <c r="E4621" s="13" t="n"/>
    </row>
    <row r="4622">
      <c r="E4622" s="13" t="n"/>
    </row>
    <row r="4623">
      <c r="E4623" s="13" t="n"/>
    </row>
    <row r="4624">
      <c r="E4624" s="13" t="n"/>
    </row>
    <row r="4625">
      <c r="E4625" s="13" t="n"/>
    </row>
    <row r="4626">
      <c r="E4626" s="13" t="n"/>
    </row>
    <row r="4627">
      <c r="E4627" s="13" t="n"/>
    </row>
    <row r="4628">
      <c r="E4628" s="13" t="n"/>
    </row>
    <row r="4629">
      <c r="E4629" s="13" t="n"/>
    </row>
    <row r="4630">
      <c r="E4630" s="13" t="n"/>
    </row>
    <row r="4631">
      <c r="E4631" s="13" t="n"/>
    </row>
    <row r="4632">
      <c r="E4632" s="13" t="n"/>
    </row>
    <row r="4633">
      <c r="E4633" s="13" t="n"/>
    </row>
    <row r="4634">
      <c r="E4634" s="13" t="n"/>
    </row>
    <row r="4635">
      <c r="E4635" s="13" t="n"/>
    </row>
    <row r="4636">
      <c r="E4636" s="13" t="n"/>
    </row>
    <row r="4637">
      <c r="E4637" s="13" t="n"/>
    </row>
    <row r="4638">
      <c r="E4638" s="13" t="n"/>
    </row>
    <row r="4639">
      <c r="E4639" s="13" t="n"/>
    </row>
    <row r="4640">
      <c r="E4640" s="13" t="n"/>
    </row>
    <row r="4641">
      <c r="E4641" s="13" t="n"/>
    </row>
    <row r="4642">
      <c r="E4642" s="13" t="n"/>
    </row>
    <row r="4643">
      <c r="E4643" s="13" t="n"/>
    </row>
    <row r="4644">
      <c r="E4644" s="13" t="n"/>
    </row>
    <row r="4645">
      <c r="E4645" s="13" t="n"/>
    </row>
    <row r="4646">
      <c r="E4646" s="13" t="n"/>
    </row>
    <row r="4647">
      <c r="E4647" s="13" t="n"/>
    </row>
    <row r="4648">
      <c r="E4648" s="13" t="n"/>
    </row>
    <row r="4649">
      <c r="E4649" s="13" t="n"/>
    </row>
    <row r="4650">
      <c r="E4650" s="13" t="n"/>
    </row>
    <row r="4651">
      <c r="E4651" s="13" t="n"/>
    </row>
    <row r="4652">
      <c r="E4652" s="13" t="n"/>
    </row>
    <row r="4653">
      <c r="E4653" s="13" t="n"/>
    </row>
    <row r="4654">
      <c r="E4654" s="13" t="n"/>
    </row>
    <row r="4655">
      <c r="E4655" s="13" t="n"/>
    </row>
    <row r="4656">
      <c r="E4656" s="13" t="n"/>
    </row>
    <row r="4657">
      <c r="E4657" s="13" t="n"/>
    </row>
    <row r="4658">
      <c r="E4658" s="13" t="n"/>
    </row>
    <row r="4659">
      <c r="E4659" s="13" t="n"/>
    </row>
    <row r="4660">
      <c r="E4660" s="13" t="n"/>
    </row>
    <row r="4661">
      <c r="E4661" s="13" t="n"/>
    </row>
    <row r="4662">
      <c r="E4662" s="13" t="n"/>
    </row>
    <row r="4663">
      <c r="E4663" s="13" t="n"/>
    </row>
    <row r="4664">
      <c r="E4664" s="13" t="n"/>
    </row>
    <row r="4665">
      <c r="E4665" s="13" t="n"/>
    </row>
    <row r="4666">
      <c r="E4666" s="13" t="n"/>
    </row>
    <row r="4667">
      <c r="E4667" s="13" t="n"/>
    </row>
    <row r="4668">
      <c r="E4668" s="13" t="n"/>
    </row>
    <row r="4669">
      <c r="E4669" s="13" t="n"/>
    </row>
    <row r="4670">
      <c r="E4670" s="13" t="n"/>
    </row>
    <row r="4671">
      <c r="E4671" s="13" t="n"/>
    </row>
    <row r="4672">
      <c r="E4672" s="13" t="n"/>
    </row>
    <row r="4673">
      <c r="E4673" s="13" t="n"/>
    </row>
    <row r="4674">
      <c r="E4674" s="13" t="n"/>
    </row>
    <row r="4675">
      <c r="E4675" s="13" t="n"/>
    </row>
    <row r="4676">
      <c r="E4676" s="13" t="n"/>
    </row>
    <row r="4677">
      <c r="E4677" s="13" t="n"/>
    </row>
    <row r="4678">
      <c r="E4678" s="13" t="n"/>
    </row>
    <row r="4679">
      <c r="E4679" s="13" t="n"/>
    </row>
    <row r="4680">
      <c r="E4680" s="13" t="n"/>
    </row>
    <row r="4681">
      <c r="E4681" s="13" t="n"/>
    </row>
    <row r="4682">
      <c r="E4682" s="13" t="n"/>
    </row>
    <row r="4683">
      <c r="E4683" s="13" t="n"/>
    </row>
    <row r="4684">
      <c r="E4684" s="13" t="n"/>
    </row>
    <row r="4685">
      <c r="E4685" s="13" t="n"/>
    </row>
    <row r="4686">
      <c r="E4686" s="13" t="n"/>
    </row>
    <row r="4687">
      <c r="E4687" s="13" t="n"/>
    </row>
    <row r="4688">
      <c r="E4688" s="13" t="n"/>
    </row>
    <row r="4689">
      <c r="E4689" s="13" t="n"/>
    </row>
    <row r="4690">
      <c r="E4690" s="13" t="n"/>
    </row>
    <row r="4691">
      <c r="E4691" s="13" t="n"/>
    </row>
    <row r="4692">
      <c r="E4692" s="13" t="n"/>
    </row>
    <row r="4693">
      <c r="E4693" s="13" t="n"/>
    </row>
    <row r="4694">
      <c r="E4694" s="13" t="n"/>
    </row>
    <row r="4695">
      <c r="E4695" s="13" t="n"/>
    </row>
    <row r="4696">
      <c r="E4696" s="13" t="n"/>
    </row>
    <row r="4697">
      <c r="E4697" s="13" t="n"/>
    </row>
    <row r="4698">
      <c r="E4698" s="13" t="n"/>
    </row>
    <row r="4699">
      <c r="E4699" s="13" t="n"/>
    </row>
    <row r="4700">
      <c r="E4700" s="13" t="n"/>
    </row>
    <row r="4701">
      <c r="E4701" s="13" t="n"/>
    </row>
    <row r="4702">
      <c r="E4702" s="13" t="n"/>
    </row>
    <row r="4703">
      <c r="E4703" s="13" t="n"/>
    </row>
    <row r="4704">
      <c r="E4704" s="13" t="n"/>
    </row>
    <row r="4705">
      <c r="E4705" s="13" t="n"/>
    </row>
    <row r="4706">
      <c r="E4706" s="13" t="n"/>
    </row>
    <row r="4707">
      <c r="E4707" s="13" t="n"/>
    </row>
    <row r="4708">
      <c r="E4708" s="13" t="n"/>
    </row>
    <row r="4709">
      <c r="E4709" s="13" t="n"/>
    </row>
    <row r="4710">
      <c r="E4710" s="13" t="n"/>
    </row>
    <row r="4711">
      <c r="E4711" s="13" t="n"/>
    </row>
    <row r="4712">
      <c r="E4712" s="13" t="n"/>
    </row>
    <row r="4713">
      <c r="E4713" s="13" t="n"/>
    </row>
    <row r="4714">
      <c r="E4714" s="13" t="n"/>
    </row>
    <row r="4715">
      <c r="E4715" s="13" t="n"/>
    </row>
    <row r="4716">
      <c r="E4716" s="13" t="n"/>
    </row>
    <row r="4717">
      <c r="E4717" s="13" t="n"/>
    </row>
    <row r="4718">
      <c r="E4718" s="13" t="n"/>
    </row>
    <row r="4719">
      <c r="E4719" s="13" t="n"/>
    </row>
    <row r="4720">
      <c r="E4720" s="13" t="n"/>
    </row>
    <row r="4721">
      <c r="E4721" s="13" t="n"/>
    </row>
    <row r="4722">
      <c r="E4722" s="13" t="n"/>
    </row>
    <row r="4723">
      <c r="E4723" s="13" t="n"/>
    </row>
    <row r="4724">
      <c r="E4724" s="13" t="n"/>
    </row>
    <row r="4725">
      <c r="E4725" s="13" t="n"/>
    </row>
    <row r="4726">
      <c r="E4726" s="13" t="n"/>
    </row>
    <row r="4727">
      <c r="E4727" s="13" t="n"/>
    </row>
    <row r="4728">
      <c r="E4728" s="13" t="n"/>
    </row>
    <row r="4729">
      <c r="E4729" s="13" t="n"/>
    </row>
    <row r="4730">
      <c r="E4730" s="13" t="n"/>
    </row>
    <row r="4731">
      <c r="E4731" s="13" t="n"/>
    </row>
    <row r="4732">
      <c r="E4732" s="13" t="n"/>
    </row>
    <row r="4733">
      <c r="E4733" s="13" t="n"/>
    </row>
    <row r="4734">
      <c r="E4734" s="13" t="n"/>
    </row>
    <row r="4735">
      <c r="E4735" s="13" t="n"/>
    </row>
    <row r="4736">
      <c r="E4736" s="13" t="n"/>
    </row>
    <row r="4737">
      <c r="E4737" s="13" t="n"/>
    </row>
    <row r="4738">
      <c r="E4738" s="13" t="n"/>
    </row>
    <row r="4739">
      <c r="E4739" s="13" t="n"/>
    </row>
    <row r="4740">
      <c r="E4740" s="13" t="n"/>
    </row>
    <row r="4741">
      <c r="E4741" s="13" t="n"/>
    </row>
    <row r="4742">
      <c r="E4742" s="13" t="n"/>
    </row>
    <row r="4743">
      <c r="E4743" s="13" t="n"/>
    </row>
    <row r="4744">
      <c r="E4744" s="13" t="n"/>
    </row>
    <row r="4745">
      <c r="E4745" s="13" t="n"/>
    </row>
    <row r="4746">
      <c r="E4746" s="13" t="n"/>
    </row>
    <row r="4747">
      <c r="E4747" s="13" t="n"/>
    </row>
    <row r="4748">
      <c r="E4748" s="13" t="n"/>
    </row>
    <row r="4749">
      <c r="E4749" s="13" t="n"/>
    </row>
    <row r="4750">
      <c r="E4750" s="13" t="n"/>
    </row>
    <row r="4751">
      <c r="E4751" s="13" t="n"/>
    </row>
    <row r="4752">
      <c r="E4752" s="13" t="n"/>
    </row>
    <row r="4753">
      <c r="E4753" s="13" t="n"/>
    </row>
    <row r="4754">
      <c r="E4754" s="13" t="n"/>
    </row>
    <row r="4755">
      <c r="E4755" s="13" t="n"/>
    </row>
    <row r="4756">
      <c r="E4756" s="13" t="n"/>
    </row>
    <row r="4757">
      <c r="E4757" s="13" t="n"/>
    </row>
    <row r="4758">
      <c r="E4758" s="13" t="n"/>
    </row>
    <row r="4759">
      <c r="E4759" s="13" t="n"/>
    </row>
    <row r="4760">
      <c r="E4760" s="13" t="n"/>
    </row>
    <row r="4761">
      <c r="E4761" s="13" t="n"/>
    </row>
    <row r="4762">
      <c r="E4762" s="13" t="n"/>
    </row>
    <row r="4763">
      <c r="E4763" s="13" t="n"/>
    </row>
    <row r="4764">
      <c r="E4764" s="13" t="n"/>
    </row>
    <row r="4765">
      <c r="E4765" s="13" t="n"/>
    </row>
    <row r="4766">
      <c r="E4766" s="13" t="n"/>
    </row>
    <row r="4767">
      <c r="E4767" s="13" t="n"/>
    </row>
    <row r="4768">
      <c r="E4768" s="13" t="n"/>
    </row>
    <row r="4769">
      <c r="E4769" s="13" t="n"/>
    </row>
    <row r="4770">
      <c r="E4770" s="13" t="n"/>
    </row>
    <row r="4771">
      <c r="E4771" s="13" t="n"/>
    </row>
    <row r="4772">
      <c r="E4772" s="13" t="n"/>
    </row>
    <row r="4773">
      <c r="E4773" s="13" t="n"/>
    </row>
    <row r="4774">
      <c r="E4774" s="13" t="n"/>
    </row>
    <row r="4775">
      <c r="E4775" s="13" t="n"/>
    </row>
    <row r="4776">
      <c r="E4776" s="13" t="n"/>
    </row>
    <row r="4777">
      <c r="E4777" s="13" t="n"/>
    </row>
    <row r="4778">
      <c r="E4778" s="13" t="n"/>
    </row>
    <row r="4779">
      <c r="E4779" s="13" t="n"/>
    </row>
    <row r="4780">
      <c r="E4780" s="13" t="n"/>
    </row>
    <row r="4781">
      <c r="E4781" s="13" t="n"/>
    </row>
    <row r="4782">
      <c r="E4782" s="13" t="n"/>
    </row>
    <row r="4783">
      <c r="E4783" s="13" t="n"/>
    </row>
    <row r="4784">
      <c r="E4784" s="13" t="n"/>
    </row>
    <row r="4785">
      <c r="E4785" s="13" t="n"/>
    </row>
    <row r="4786">
      <c r="E4786" s="13" t="n"/>
    </row>
    <row r="4787">
      <c r="E4787" s="13" t="n"/>
    </row>
    <row r="4788">
      <c r="E4788" s="13" t="n"/>
    </row>
    <row r="4789">
      <c r="E4789" s="13" t="n"/>
    </row>
    <row r="4790">
      <c r="E4790" s="13" t="n"/>
    </row>
    <row r="4791">
      <c r="E4791" s="13" t="n"/>
    </row>
    <row r="4792">
      <c r="E4792" s="13" t="n"/>
    </row>
    <row r="4793">
      <c r="E4793" s="13" t="n"/>
    </row>
    <row r="4794">
      <c r="E4794" s="13" t="n"/>
    </row>
    <row r="4795">
      <c r="E4795" s="13" t="n"/>
    </row>
    <row r="4796">
      <c r="E4796" s="13" t="n"/>
    </row>
    <row r="4797">
      <c r="E4797" s="13" t="n"/>
    </row>
    <row r="4798">
      <c r="E4798" s="13" t="n"/>
    </row>
    <row r="4799">
      <c r="E4799" s="13" t="n"/>
    </row>
    <row r="4800">
      <c r="E4800" s="13" t="n"/>
    </row>
    <row r="4801">
      <c r="E4801" s="13" t="n"/>
    </row>
    <row r="4802">
      <c r="E4802" s="13" t="n"/>
    </row>
    <row r="4803">
      <c r="E4803" s="13" t="n"/>
    </row>
    <row r="4804">
      <c r="E4804" s="13" t="n"/>
    </row>
    <row r="4805">
      <c r="E4805" s="13" t="n"/>
    </row>
    <row r="4806">
      <c r="E4806" s="13" t="n"/>
    </row>
    <row r="4807">
      <c r="E4807" s="13" t="n"/>
    </row>
    <row r="4808">
      <c r="E4808" s="13" t="n"/>
    </row>
    <row r="4809">
      <c r="E4809" s="13" t="n"/>
    </row>
    <row r="4810">
      <c r="E4810" s="13" t="n"/>
    </row>
    <row r="4811">
      <c r="E4811" s="13" t="n"/>
    </row>
    <row r="4812">
      <c r="E4812" s="13" t="n"/>
    </row>
    <row r="4813">
      <c r="E4813" s="13" t="n"/>
    </row>
    <row r="4814">
      <c r="E4814" s="13" t="n"/>
    </row>
    <row r="4815">
      <c r="E4815" s="13" t="n"/>
    </row>
    <row r="4816">
      <c r="E4816" s="13" t="n"/>
    </row>
    <row r="4817">
      <c r="E4817" s="13" t="n"/>
    </row>
    <row r="4818">
      <c r="E4818" s="13" t="n"/>
    </row>
    <row r="4819">
      <c r="E4819" s="13" t="n"/>
    </row>
    <row r="4820">
      <c r="E4820" s="13" t="n"/>
    </row>
    <row r="4821">
      <c r="E4821" s="13" t="n"/>
    </row>
    <row r="4822">
      <c r="E4822" s="13" t="n"/>
    </row>
    <row r="4823">
      <c r="E4823" s="13" t="n"/>
    </row>
    <row r="4824">
      <c r="E4824" s="13" t="n"/>
    </row>
    <row r="4825">
      <c r="E4825" s="13" t="n"/>
    </row>
    <row r="4826">
      <c r="E4826" s="13" t="n"/>
    </row>
    <row r="4827">
      <c r="E4827" s="13" t="n"/>
    </row>
    <row r="4828">
      <c r="E4828" s="13" t="n"/>
    </row>
    <row r="4829">
      <c r="E4829" s="13" t="n"/>
    </row>
    <row r="4830">
      <c r="E4830" s="13" t="n"/>
    </row>
    <row r="4831">
      <c r="E4831" s="13" t="n"/>
    </row>
    <row r="4832">
      <c r="E4832" s="13" t="n"/>
    </row>
    <row r="4833">
      <c r="E4833" s="13" t="n"/>
    </row>
    <row r="4834">
      <c r="E4834" s="13" t="n"/>
    </row>
    <row r="4835">
      <c r="E4835" s="13" t="n"/>
    </row>
    <row r="4836">
      <c r="E4836" s="13" t="n"/>
    </row>
    <row r="4837">
      <c r="E4837" s="13" t="n"/>
    </row>
    <row r="4838">
      <c r="E4838" s="13" t="n"/>
    </row>
    <row r="4839">
      <c r="E4839" s="13" t="n"/>
    </row>
    <row r="4840">
      <c r="E4840" s="13" t="n"/>
    </row>
    <row r="4841">
      <c r="E4841" s="13" t="n"/>
    </row>
    <row r="4842">
      <c r="E4842" s="13" t="n"/>
    </row>
    <row r="4843">
      <c r="E4843" s="13" t="n"/>
    </row>
    <row r="4844">
      <c r="E4844" s="13" t="n"/>
    </row>
    <row r="4845">
      <c r="E4845" s="13" t="n"/>
    </row>
    <row r="4846">
      <c r="E4846" s="13" t="n"/>
    </row>
    <row r="4847">
      <c r="E4847" s="13" t="n"/>
    </row>
    <row r="4848">
      <c r="E4848" s="13" t="n"/>
    </row>
    <row r="4849">
      <c r="E4849" s="13" t="n"/>
    </row>
    <row r="4850">
      <c r="E4850" s="13" t="n"/>
    </row>
    <row r="4851">
      <c r="E4851" s="13" t="n"/>
    </row>
    <row r="4852">
      <c r="E4852" s="13" t="n"/>
    </row>
    <row r="4853">
      <c r="E4853" s="13" t="n"/>
    </row>
    <row r="4854">
      <c r="E4854" s="13" t="n"/>
    </row>
    <row r="4855">
      <c r="E4855" s="13" t="n"/>
    </row>
    <row r="4856">
      <c r="E4856" s="13" t="n"/>
    </row>
    <row r="4857">
      <c r="E4857" s="13" t="n"/>
    </row>
    <row r="4858">
      <c r="E4858" s="13" t="n"/>
    </row>
    <row r="4859">
      <c r="E4859" s="13" t="n"/>
    </row>
    <row r="4860">
      <c r="E4860" s="13" t="n"/>
    </row>
    <row r="4861">
      <c r="E4861" s="13" t="n"/>
    </row>
    <row r="4862">
      <c r="E4862" s="13" t="n"/>
    </row>
    <row r="4863">
      <c r="E4863" s="13" t="n"/>
    </row>
    <row r="4864">
      <c r="E4864" s="13" t="n"/>
    </row>
    <row r="4865">
      <c r="E4865" s="13" t="n"/>
    </row>
    <row r="4866">
      <c r="E4866" s="13" t="n"/>
    </row>
    <row r="4867">
      <c r="E4867" s="13" t="n"/>
    </row>
    <row r="4868">
      <c r="E4868" s="13" t="n"/>
    </row>
    <row r="4869">
      <c r="E4869" s="13" t="n"/>
    </row>
    <row r="4870">
      <c r="E4870" s="13" t="n"/>
    </row>
    <row r="4871">
      <c r="E4871" s="13" t="n"/>
    </row>
    <row r="4872">
      <c r="E4872" s="13" t="n"/>
    </row>
    <row r="4873">
      <c r="E4873" s="13" t="n"/>
    </row>
    <row r="4874">
      <c r="E4874" s="13" t="n"/>
    </row>
    <row r="4875">
      <c r="E4875" s="13" t="n"/>
    </row>
    <row r="4876">
      <c r="E4876" s="13" t="n"/>
    </row>
    <row r="4877">
      <c r="E4877" s="13" t="n"/>
    </row>
    <row r="4878">
      <c r="E4878" s="13" t="n"/>
    </row>
    <row r="4879">
      <c r="E4879" s="13" t="n"/>
    </row>
    <row r="4880">
      <c r="E4880" s="13" t="n"/>
    </row>
    <row r="4881">
      <c r="E4881" s="13" t="n"/>
    </row>
    <row r="4882">
      <c r="E4882" s="13" t="n"/>
    </row>
    <row r="4883">
      <c r="E4883" s="13" t="n"/>
    </row>
    <row r="4884">
      <c r="E4884" s="13" t="n"/>
    </row>
    <row r="4885">
      <c r="E4885" s="13" t="n"/>
    </row>
    <row r="4886">
      <c r="E4886" s="13" t="n"/>
    </row>
    <row r="4887">
      <c r="E4887" s="13" t="n"/>
    </row>
    <row r="4888">
      <c r="E4888" s="13" t="n"/>
    </row>
    <row r="4889">
      <c r="E4889" s="13" t="n"/>
    </row>
    <row r="4890">
      <c r="E4890" s="13" t="n"/>
    </row>
    <row r="4891">
      <c r="E4891" s="13" t="n"/>
    </row>
    <row r="4892">
      <c r="E4892" s="13" t="n"/>
    </row>
    <row r="4893">
      <c r="E4893" s="13" t="n"/>
    </row>
    <row r="4894">
      <c r="E4894" s="13" t="n"/>
    </row>
    <row r="4895">
      <c r="E4895" s="13" t="n"/>
    </row>
    <row r="4896">
      <c r="E4896" s="13" t="n"/>
    </row>
    <row r="4897">
      <c r="E4897" s="13" t="n"/>
    </row>
    <row r="4898">
      <c r="E4898" s="13" t="n"/>
    </row>
    <row r="4899">
      <c r="E4899" s="13" t="n"/>
    </row>
    <row r="4900">
      <c r="E4900" s="13" t="n"/>
    </row>
    <row r="4901">
      <c r="E4901" s="13" t="n"/>
    </row>
    <row r="4902">
      <c r="E4902" s="13" t="n"/>
    </row>
    <row r="4903">
      <c r="E4903" s="13" t="n"/>
    </row>
    <row r="4904">
      <c r="E4904" s="13" t="n"/>
    </row>
    <row r="4905">
      <c r="E4905" s="13" t="n"/>
    </row>
    <row r="4906">
      <c r="E4906" s="13" t="n"/>
    </row>
    <row r="4907">
      <c r="E4907" s="13" t="n"/>
    </row>
    <row r="4908">
      <c r="E4908" s="13" t="n"/>
    </row>
    <row r="4909">
      <c r="E4909" s="13" t="n"/>
    </row>
    <row r="4910">
      <c r="E4910" s="13" t="n"/>
    </row>
    <row r="4911">
      <c r="E4911" s="13" t="n"/>
    </row>
    <row r="4912">
      <c r="E4912" s="13" t="n"/>
    </row>
    <row r="4913">
      <c r="E4913" s="13" t="n"/>
    </row>
    <row r="4914">
      <c r="E4914" s="13" t="n"/>
    </row>
    <row r="4915">
      <c r="E4915" s="13" t="n"/>
    </row>
    <row r="4916">
      <c r="E4916" s="13" t="n"/>
    </row>
    <row r="4917">
      <c r="E4917" s="13" t="n"/>
    </row>
    <row r="4918">
      <c r="E4918" s="13" t="n"/>
    </row>
    <row r="4919">
      <c r="E4919" s="13" t="n"/>
    </row>
    <row r="4920">
      <c r="E4920" s="13" t="n"/>
    </row>
    <row r="4921">
      <c r="E4921" s="13" t="n"/>
    </row>
    <row r="4922">
      <c r="E4922" s="13" t="n"/>
    </row>
    <row r="4923">
      <c r="E4923" s="13" t="n"/>
    </row>
    <row r="4924">
      <c r="E4924" s="13" t="n"/>
    </row>
    <row r="4925">
      <c r="E4925" s="13" t="n"/>
    </row>
    <row r="4926">
      <c r="E4926" s="13" t="n"/>
    </row>
    <row r="4927">
      <c r="E4927" s="13" t="n"/>
    </row>
    <row r="4928">
      <c r="E4928" s="13" t="n"/>
    </row>
    <row r="4929">
      <c r="E4929" s="13" t="n"/>
    </row>
    <row r="4930">
      <c r="E4930" s="13" t="n"/>
    </row>
    <row r="4931">
      <c r="E4931" s="13" t="n"/>
    </row>
    <row r="4932">
      <c r="E4932" s="13" t="n"/>
    </row>
    <row r="4933">
      <c r="E4933" s="13" t="n"/>
    </row>
    <row r="4934">
      <c r="E4934" s="13" t="n"/>
    </row>
    <row r="4935">
      <c r="E4935" s="13" t="n"/>
    </row>
    <row r="4936">
      <c r="E4936" s="13" t="n"/>
    </row>
    <row r="4937">
      <c r="E4937" s="13" t="n"/>
    </row>
    <row r="4938">
      <c r="E4938" s="13" t="n"/>
    </row>
    <row r="4939">
      <c r="E4939" s="13" t="n"/>
    </row>
    <row r="4940">
      <c r="E4940" s="13" t="n"/>
    </row>
    <row r="4941">
      <c r="E4941" s="13" t="n"/>
    </row>
    <row r="4942">
      <c r="E4942" s="13" t="n"/>
    </row>
    <row r="4943">
      <c r="E4943" s="13" t="n"/>
    </row>
    <row r="4944">
      <c r="E4944" s="13" t="n"/>
    </row>
    <row r="4945">
      <c r="E4945" s="13" t="n"/>
    </row>
    <row r="4946">
      <c r="E4946" s="13" t="n"/>
    </row>
    <row r="4947">
      <c r="E4947" s="13" t="n"/>
    </row>
    <row r="4948">
      <c r="E4948" s="13" t="n"/>
    </row>
    <row r="4949">
      <c r="E4949" s="13" t="n"/>
    </row>
    <row r="4950">
      <c r="E4950" s="13" t="n"/>
    </row>
    <row r="4951">
      <c r="E4951" s="13" t="n"/>
    </row>
    <row r="4952">
      <c r="E4952" s="13" t="n"/>
    </row>
    <row r="4953">
      <c r="E4953" s="13" t="n"/>
    </row>
    <row r="4954">
      <c r="E4954" s="13" t="n"/>
    </row>
    <row r="4955">
      <c r="E4955" s="13" t="n"/>
    </row>
    <row r="4956">
      <c r="E4956" s="13" t="n"/>
    </row>
    <row r="4957">
      <c r="E4957" s="13" t="n"/>
    </row>
    <row r="4958">
      <c r="E4958" s="13" t="n"/>
    </row>
    <row r="4959">
      <c r="E4959" s="13" t="n"/>
    </row>
    <row r="4960">
      <c r="E4960" s="13" t="n"/>
    </row>
    <row r="4961">
      <c r="E4961" s="13" t="n"/>
    </row>
    <row r="4962">
      <c r="E4962" s="13" t="n"/>
    </row>
    <row r="4963">
      <c r="E4963" s="13" t="n"/>
    </row>
    <row r="4964">
      <c r="E4964" s="13" t="n"/>
    </row>
    <row r="4965">
      <c r="E4965" s="13" t="n"/>
    </row>
    <row r="4966">
      <c r="E4966" s="13" t="n"/>
    </row>
    <row r="4967">
      <c r="E4967" s="13" t="n"/>
    </row>
    <row r="4968">
      <c r="E4968" s="13" t="n"/>
    </row>
    <row r="4969">
      <c r="E4969" s="13" t="n"/>
    </row>
    <row r="4970">
      <c r="E4970" s="13" t="n"/>
    </row>
    <row r="4971">
      <c r="E4971" s="13" t="n"/>
    </row>
    <row r="4972">
      <c r="E4972" s="13" t="n"/>
    </row>
    <row r="4973">
      <c r="E4973" s="13" t="n"/>
    </row>
    <row r="4974">
      <c r="E4974" s="13" t="n"/>
    </row>
    <row r="4975">
      <c r="E4975" s="13" t="n"/>
    </row>
    <row r="4976">
      <c r="E4976" s="13" t="n"/>
    </row>
    <row r="4977">
      <c r="E4977" s="13" t="n"/>
    </row>
    <row r="4978">
      <c r="E4978" s="13" t="n"/>
    </row>
    <row r="4979">
      <c r="E4979" s="13" t="n"/>
    </row>
    <row r="4980">
      <c r="E4980" s="13" t="n"/>
    </row>
    <row r="4981">
      <c r="E4981" s="13" t="n"/>
    </row>
    <row r="4982">
      <c r="E4982" s="13" t="n"/>
    </row>
    <row r="4983">
      <c r="E4983" s="13" t="n"/>
    </row>
    <row r="4984">
      <c r="E4984" s="13" t="n"/>
    </row>
    <row r="4985">
      <c r="E4985" s="13" t="n"/>
    </row>
    <row r="4986">
      <c r="E4986" s="13" t="n"/>
    </row>
    <row r="4987">
      <c r="E4987" s="13" t="n"/>
    </row>
    <row r="4988">
      <c r="E4988" s="13" t="n"/>
    </row>
    <row r="4989">
      <c r="E4989" s="13" t="n"/>
    </row>
    <row r="4990">
      <c r="E4990" s="13" t="n"/>
    </row>
    <row r="4991">
      <c r="E4991" s="13" t="n"/>
    </row>
    <row r="4992">
      <c r="E4992" s="13" t="n"/>
    </row>
    <row r="4993">
      <c r="E4993" s="13" t="n"/>
    </row>
    <row r="4994">
      <c r="E4994" s="13" t="n"/>
    </row>
    <row r="4995">
      <c r="E4995" s="13" t="n"/>
    </row>
    <row r="4996">
      <c r="E4996" s="13" t="n"/>
    </row>
    <row r="4997">
      <c r="E4997" s="13" t="n"/>
    </row>
    <row r="4998">
      <c r="E4998" s="13" t="n"/>
    </row>
    <row r="4999">
      <c r="E4999" s="13" t="n"/>
    </row>
    <row r="5000">
      <c r="E5000" s="13" t="n"/>
    </row>
  </sheetData>
  <autoFilter ref="A1:F5000"/>
  <dataValidations count="2">
    <dataValidation sqref="A2:A5000" showDropDown="0" showInputMessage="0" showErrorMessage="0" allowBlank="1" errorTitle="Personel adı" error="İCRA DOSYALARI sayfasındaki yazımla birebir aynı olmalı." type="list" errorStyle="warning">
      <formula1>PersonelListesi</formula1>
    </dataValidation>
    <dataValidation sqref="D2:D5000" showDropDown="0" showInputMessage="0" showErrorMessage="0" allowBlank="1" type="list">
      <formula1>"Ocak,Şubat,Mart,Nisan,Mayıs,Haziran,Temmuz,Ağustos,Eylül,Ekim,Kasım,Aralık"</formula1>
    </dataValidation>
  </dataValidation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17" customWidth="1" min="3" max="3"/>
    <col width="18" customWidth="1" min="4" max="4"/>
    <col width="17" customWidth="1" min="5" max="5"/>
    <col width="17" customWidth="1" min="6" max="6"/>
    <col width="19" customWidth="1" min="7" max="7"/>
  </cols>
  <sheetData>
    <row r="1" ht="32" customHeight="1">
      <c r="A1" s="6" t="inlineStr">
        <is>
          <t>Personel Adı Soyadı</t>
        </is>
      </c>
      <c r="B1" s="7" t="inlineStr">
        <is>
          <t>Dosya Sayısı</t>
        </is>
      </c>
      <c r="C1" s="7" t="inlineStr">
        <is>
          <t>Toplam İcra Tutarı (TL)</t>
        </is>
      </c>
      <c r="D1" s="7" t="inlineStr">
        <is>
          <t>Toplam Tahsil Edilen (TL)</t>
        </is>
      </c>
      <c r="E1" s="7" t="inlineStr">
        <is>
          <t>Toplam Kalan Borç (TL)</t>
        </is>
      </c>
      <c r="F1" s="7" t="inlineStr">
        <is>
          <t>Ödemedeki Dosya No</t>
        </is>
      </c>
      <c r="G1" s="7" t="inlineStr">
        <is>
          <t>Ödemedeki Dosyanın Kalan Borcu (TL)</t>
        </is>
      </c>
    </row>
    <row r="2">
      <c r="A2" s="8" t="inlineStr">
        <is>
          <t>MERT TÜZE</t>
        </is>
      </c>
      <c r="B2" s="8">
        <f>IF($A2="","",COUNTIF('İCRA DOSYALARI'!$A$2:$A$200,$A2))</f>
        <v/>
      </c>
      <c r="C2" s="11">
        <f>IF($A2="","",SUMIF('İCRA DOSYALARI'!$A$2:$A$200,$A2,'İCRA DOSYALARI'!$H$2:$H$200))</f>
        <v/>
      </c>
      <c r="D2" s="11">
        <f>IF($A2="","",SUMIF('İCRA DOSYALARI'!$A$2:$A$200,$A2,'İCRA DOSYALARI'!$N$2:$N$200))</f>
        <v/>
      </c>
      <c r="E2" s="11">
        <f>IF($A2="","",SUMIF('İCRA DOSYALARI'!$A$2:$A$200,$A2,'İCRA DOSYALARI'!$O$2:$O$200))</f>
        <v/>
      </c>
      <c r="F2" s="8">
        <f>IF($A2="","",IFERROR(INDEX('İCRA DOSYALARI'!$D$2:$D$200,MATCH($A2&amp;"|ÖDEMEDE",'İCRA DOSYALARI'!$S$2:$S$200,0)),"-"))</f>
        <v/>
      </c>
      <c r="G2" s="11">
        <f>IF($A2="","",IFERROR(INDEX('İCRA DOSYALARI'!$O$2:$O$200,MATCH($A2&amp;"|ÖDEMEDE",'İCRA DOSYALARI'!$S$2:$S$200,0)),"-"))</f>
        <v/>
      </c>
    </row>
    <row r="3">
      <c r="A3" s="8" t="inlineStr">
        <is>
          <t>AHMET BAŞOĞLU</t>
        </is>
      </c>
      <c r="B3" s="8">
        <f>IF($A3="","",COUNTIF('İCRA DOSYALARI'!$A$2:$A$200,$A3))</f>
        <v/>
      </c>
      <c r="C3" s="11">
        <f>IF($A3="","",SUMIF('İCRA DOSYALARI'!$A$2:$A$200,$A3,'İCRA DOSYALARI'!$H$2:$H$200))</f>
        <v/>
      </c>
      <c r="D3" s="11">
        <f>IF($A3="","",SUMIF('İCRA DOSYALARI'!$A$2:$A$200,$A3,'İCRA DOSYALARI'!$N$2:$N$200))</f>
        <v/>
      </c>
      <c r="E3" s="11">
        <f>IF($A3="","",SUMIF('İCRA DOSYALARI'!$A$2:$A$200,$A3,'İCRA DOSYALARI'!$O$2:$O$200))</f>
        <v/>
      </c>
      <c r="F3" s="8">
        <f>IF($A3="","",IFERROR(INDEX('İCRA DOSYALARI'!$D$2:$D$200,MATCH($A3&amp;"|ÖDEMEDE",'İCRA DOSYALARI'!$S$2:$S$200,0)),"-"))</f>
        <v/>
      </c>
      <c r="G3" s="11">
        <f>IF($A3="","",IFERROR(INDEX('İCRA DOSYALARI'!$O$2:$O$200,MATCH($A3&amp;"|ÖDEMEDE",'İCRA DOSYALARI'!$S$2:$S$200,0)),"-"))</f>
        <v/>
      </c>
    </row>
    <row r="4">
      <c r="A4" s="8" t="n"/>
      <c r="B4" s="8">
        <f>IF($A4="","",COUNTIF('İCRA DOSYALARI'!$A$2:$A$200,$A4))</f>
        <v/>
      </c>
      <c r="C4" s="11">
        <f>IF($A4="","",SUMIF('İCRA DOSYALARI'!$A$2:$A$200,$A4,'İCRA DOSYALARI'!$H$2:$H$200))</f>
        <v/>
      </c>
      <c r="D4" s="11">
        <f>IF($A4="","",SUMIF('İCRA DOSYALARI'!$A$2:$A$200,$A4,'İCRA DOSYALARI'!$N$2:$N$200))</f>
        <v/>
      </c>
      <c r="E4" s="11">
        <f>IF($A4="","",SUMIF('İCRA DOSYALARI'!$A$2:$A$200,$A4,'İCRA DOSYALARI'!$O$2:$O$200))</f>
        <v/>
      </c>
      <c r="F4" s="8">
        <f>IF($A4="","",IFERROR(INDEX('İCRA DOSYALARI'!$D$2:$D$200,MATCH($A4&amp;"|ÖDEMEDE",'İCRA DOSYALARI'!$S$2:$S$200,0)),"-"))</f>
        <v/>
      </c>
      <c r="G4" s="11">
        <f>IF($A4="","",IFERROR(INDEX('İCRA DOSYALARI'!$O$2:$O$200,MATCH($A4&amp;"|ÖDEMEDE",'İCRA DOSYALARI'!$S$2:$S$200,0)),"-"))</f>
        <v/>
      </c>
    </row>
    <row r="5">
      <c r="A5" s="8" t="n"/>
      <c r="B5" s="8">
        <f>IF($A5="","",COUNTIF('İCRA DOSYALARI'!$A$2:$A$200,$A5))</f>
        <v/>
      </c>
      <c r="C5" s="11">
        <f>IF($A5="","",SUMIF('İCRA DOSYALARI'!$A$2:$A$200,$A5,'İCRA DOSYALARI'!$H$2:$H$200))</f>
        <v/>
      </c>
      <c r="D5" s="11">
        <f>IF($A5="","",SUMIF('İCRA DOSYALARI'!$A$2:$A$200,$A5,'İCRA DOSYALARI'!$N$2:$N$200))</f>
        <v/>
      </c>
      <c r="E5" s="11">
        <f>IF($A5="","",SUMIF('İCRA DOSYALARI'!$A$2:$A$200,$A5,'İCRA DOSYALARI'!$O$2:$O$200))</f>
        <v/>
      </c>
      <c r="F5" s="8">
        <f>IF($A5="","",IFERROR(INDEX('İCRA DOSYALARI'!$D$2:$D$200,MATCH($A5&amp;"|ÖDEMEDE",'İCRA DOSYALARI'!$S$2:$S$200,0)),"-"))</f>
        <v/>
      </c>
      <c r="G5" s="11">
        <f>IF($A5="","",IFERROR(INDEX('İCRA DOSYALARI'!$O$2:$O$200,MATCH($A5&amp;"|ÖDEMEDE",'İCRA DOSYALARI'!$S$2:$S$200,0)),"-"))</f>
        <v/>
      </c>
    </row>
    <row r="6">
      <c r="A6" s="8" t="n"/>
      <c r="B6" s="8">
        <f>IF($A6="","",COUNTIF('İCRA DOSYALARI'!$A$2:$A$200,$A6))</f>
        <v/>
      </c>
      <c r="C6" s="11">
        <f>IF($A6="","",SUMIF('İCRA DOSYALARI'!$A$2:$A$200,$A6,'İCRA DOSYALARI'!$H$2:$H$200))</f>
        <v/>
      </c>
      <c r="D6" s="11">
        <f>IF($A6="","",SUMIF('İCRA DOSYALARI'!$A$2:$A$200,$A6,'İCRA DOSYALARI'!$N$2:$N$200))</f>
        <v/>
      </c>
      <c r="E6" s="11">
        <f>IF($A6="","",SUMIF('İCRA DOSYALARI'!$A$2:$A$200,$A6,'İCRA DOSYALARI'!$O$2:$O$200))</f>
        <v/>
      </c>
      <c r="F6" s="8">
        <f>IF($A6="","",IFERROR(INDEX('İCRA DOSYALARI'!$D$2:$D$200,MATCH($A6&amp;"|ÖDEMEDE",'İCRA DOSYALARI'!$S$2:$S$200,0)),"-"))</f>
        <v/>
      </c>
      <c r="G6" s="11">
        <f>IF($A6="","",IFERROR(INDEX('İCRA DOSYALARI'!$O$2:$O$200,MATCH($A6&amp;"|ÖDEMEDE",'İCRA DOSYALARI'!$S$2:$S$200,0)),"-"))</f>
        <v/>
      </c>
    </row>
    <row r="7">
      <c r="A7" s="8" t="n"/>
      <c r="B7" s="8">
        <f>IF($A7="","",COUNTIF('İCRA DOSYALARI'!$A$2:$A$200,$A7))</f>
        <v/>
      </c>
      <c r="C7" s="11">
        <f>IF($A7="","",SUMIF('İCRA DOSYALARI'!$A$2:$A$200,$A7,'İCRA DOSYALARI'!$H$2:$H$200))</f>
        <v/>
      </c>
      <c r="D7" s="11">
        <f>IF($A7="","",SUMIF('İCRA DOSYALARI'!$A$2:$A$200,$A7,'İCRA DOSYALARI'!$N$2:$N$200))</f>
        <v/>
      </c>
      <c r="E7" s="11">
        <f>IF($A7="","",SUMIF('İCRA DOSYALARI'!$A$2:$A$200,$A7,'İCRA DOSYALARI'!$O$2:$O$200))</f>
        <v/>
      </c>
      <c r="F7" s="8">
        <f>IF($A7="","",IFERROR(INDEX('İCRA DOSYALARI'!$D$2:$D$200,MATCH($A7&amp;"|ÖDEMEDE",'İCRA DOSYALARI'!$S$2:$S$200,0)),"-"))</f>
        <v/>
      </c>
      <c r="G7" s="11">
        <f>IF($A7="","",IFERROR(INDEX('İCRA DOSYALARI'!$O$2:$O$200,MATCH($A7&amp;"|ÖDEMEDE",'İCRA DOSYALARI'!$S$2:$S$200,0)),"-"))</f>
        <v/>
      </c>
    </row>
    <row r="8">
      <c r="A8" s="8" t="n"/>
      <c r="B8" s="8">
        <f>IF($A8="","",COUNTIF('İCRA DOSYALARI'!$A$2:$A$200,$A8))</f>
        <v/>
      </c>
      <c r="C8" s="11">
        <f>IF($A8="","",SUMIF('İCRA DOSYALARI'!$A$2:$A$200,$A8,'İCRA DOSYALARI'!$H$2:$H$200))</f>
        <v/>
      </c>
      <c r="D8" s="11">
        <f>IF($A8="","",SUMIF('İCRA DOSYALARI'!$A$2:$A$200,$A8,'İCRA DOSYALARI'!$N$2:$N$200))</f>
        <v/>
      </c>
      <c r="E8" s="11">
        <f>IF($A8="","",SUMIF('İCRA DOSYALARI'!$A$2:$A$200,$A8,'İCRA DOSYALARI'!$O$2:$O$200))</f>
        <v/>
      </c>
      <c r="F8" s="8">
        <f>IF($A8="","",IFERROR(INDEX('İCRA DOSYALARI'!$D$2:$D$200,MATCH($A8&amp;"|ÖDEMEDE",'İCRA DOSYALARI'!$S$2:$S$200,0)),"-"))</f>
        <v/>
      </c>
      <c r="G8" s="11">
        <f>IF($A8="","",IFERROR(INDEX('İCRA DOSYALARI'!$O$2:$O$200,MATCH($A8&amp;"|ÖDEMEDE",'İCRA DOSYALARI'!$S$2:$S$200,0)),"-"))</f>
        <v/>
      </c>
    </row>
    <row r="9">
      <c r="A9" s="8" t="n"/>
      <c r="B9" s="8">
        <f>IF($A9="","",COUNTIF('İCRA DOSYALARI'!$A$2:$A$200,$A9))</f>
        <v/>
      </c>
      <c r="C9" s="11">
        <f>IF($A9="","",SUMIF('İCRA DOSYALARI'!$A$2:$A$200,$A9,'İCRA DOSYALARI'!$H$2:$H$200))</f>
        <v/>
      </c>
      <c r="D9" s="11">
        <f>IF($A9="","",SUMIF('İCRA DOSYALARI'!$A$2:$A$200,$A9,'İCRA DOSYALARI'!$N$2:$N$200))</f>
        <v/>
      </c>
      <c r="E9" s="11">
        <f>IF($A9="","",SUMIF('İCRA DOSYALARI'!$A$2:$A$200,$A9,'İCRA DOSYALARI'!$O$2:$O$200))</f>
        <v/>
      </c>
      <c r="F9" s="8">
        <f>IF($A9="","",IFERROR(INDEX('İCRA DOSYALARI'!$D$2:$D$200,MATCH($A9&amp;"|ÖDEMEDE",'İCRA DOSYALARI'!$S$2:$S$200,0)),"-"))</f>
        <v/>
      </c>
      <c r="G9" s="11">
        <f>IF($A9="","",IFERROR(INDEX('İCRA DOSYALARI'!$O$2:$O$200,MATCH($A9&amp;"|ÖDEMEDE",'İCRA DOSYALARI'!$S$2:$S$200,0)),"-"))</f>
        <v/>
      </c>
    </row>
    <row r="10">
      <c r="A10" s="8" t="n"/>
      <c r="B10" s="8">
        <f>IF($A10="","",COUNTIF('İCRA DOSYALARI'!$A$2:$A$200,$A10))</f>
        <v/>
      </c>
      <c r="C10" s="11">
        <f>IF($A10="","",SUMIF('İCRA DOSYALARI'!$A$2:$A$200,$A10,'İCRA DOSYALARI'!$H$2:$H$200))</f>
        <v/>
      </c>
      <c r="D10" s="11">
        <f>IF($A10="","",SUMIF('İCRA DOSYALARI'!$A$2:$A$200,$A10,'İCRA DOSYALARI'!$N$2:$N$200))</f>
        <v/>
      </c>
      <c r="E10" s="11">
        <f>IF($A10="","",SUMIF('İCRA DOSYALARI'!$A$2:$A$200,$A10,'İCRA DOSYALARI'!$O$2:$O$200))</f>
        <v/>
      </c>
      <c r="F10" s="8">
        <f>IF($A10="","",IFERROR(INDEX('İCRA DOSYALARI'!$D$2:$D$200,MATCH($A10&amp;"|ÖDEMEDE",'İCRA DOSYALARI'!$S$2:$S$200,0)),"-"))</f>
        <v/>
      </c>
      <c r="G10" s="11">
        <f>IF($A10="","",IFERROR(INDEX('İCRA DOSYALARI'!$O$2:$O$200,MATCH($A10&amp;"|ÖDEMEDE",'İCRA DOSYALARI'!$S$2:$S$200,0)),"-"))</f>
        <v/>
      </c>
    </row>
    <row r="11">
      <c r="A11" s="8" t="n"/>
      <c r="B11" s="8">
        <f>IF($A11="","",COUNTIF('İCRA DOSYALARI'!$A$2:$A$200,$A11))</f>
        <v/>
      </c>
      <c r="C11" s="11">
        <f>IF($A11="","",SUMIF('İCRA DOSYALARI'!$A$2:$A$200,$A11,'İCRA DOSYALARI'!$H$2:$H$200))</f>
        <v/>
      </c>
      <c r="D11" s="11">
        <f>IF($A11="","",SUMIF('İCRA DOSYALARI'!$A$2:$A$200,$A11,'İCRA DOSYALARI'!$N$2:$N$200))</f>
        <v/>
      </c>
      <c r="E11" s="11">
        <f>IF($A11="","",SUMIF('İCRA DOSYALARI'!$A$2:$A$200,$A11,'İCRA DOSYALARI'!$O$2:$O$200))</f>
        <v/>
      </c>
      <c r="F11" s="8">
        <f>IF($A11="","",IFERROR(INDEX('İCRA DOSYALARI'!$D$2:$D$200,MATCH($A11&amp;"|ÖDEMEDE",'İCRA DOSYALARI'!$S$2:$S$200,0)),"-"))</f>
        <v/>
      </c>
      <c r="G11" s="11">
        <f>IF($A11="","",IFERROR(INDEX('İCRA DOSYALARI'!$O$2:$O$200,MATCH($A11&amp;"|ÖDEMEDE",'İCRA DOSYALARI'!$S$2:$S$200,0)),"-"))</f>
        <v/>
      </c>
    </row>
    <row r="12">
      <c r="A12" s="8" t="n"/>
      <c r="B12" s="8">
        <f>IF($A12="","",COUNTIF('İCRA DOSYALARI'!$A$2:$A$200,$A12))</f>
        <v/>
      </c>
      <c r="C12" s="11">
        <f>IF($A12="","",SUMIF('İCRA DOSYALARI'!$A$2:$A$200,$A12,'İCRA DOSYALARI'!$H$2:$H$200))</f>
        <v/>
      </c>
      <c r="D12" s="11">
        <f>IF($A12="","",SUMIF('İCRA DOSYALARI'!$A$2:$A$200,$A12,'İCRA DOSYALARI'!$N$2:$N$200))</f>
        <v/>
      </c>
      <c r="E12" s="11">
        <f>IF($A12="","",SUMIF('İCRA DOSYALARI'!$A$2:$A$200,$A12,'İCRA DOSYALARI'!$O$2:$O$200))</f>
        <v/>
      </c>
      <c r="F12" s="8">
        <f>IF($A12="","",IFERROR(INDEX('İCRA DOSYALARI'!$D$2:$D$200,MATCH($A12&amp;"|ÖDEMEDE",'İCRA DOSYALARI'!$S$2:$S$200,0)),"-"))</f>
        <v/>
      </c>
      <c r="G12" s="11">
        <f>IF($A12="","",IFERROR(INDEX('İCRA DOSYALARI'!$O$2:$O$200,MATCH($A12&amp;"|ÖDEMEDE",'İCRA DOSYALARI'!$S$2:$S$200,0)),"-"))</f>
        <v/>
      </c>
    </row>
    <row r="13">
      <c r="A13" s="8" t="n"/>
      <c r="B13" s="8">
        <f>IF($A13="","",COUNTIF('İCRA DOSYALARI'!$A$2:$A$200,$A13))</f>
        <v/>
      </c>
      <c r="C13" s="11">
        <f>IF($A13="","",SUMIF('İCRA DOSYALARI'!$A$2:$A$200,$A13,'İCRA DOSYALARI'!$H$2:$H$200))</f>
        <v/>
      </c>
      <c r="D13" s="11">
        <f>IF($A13="","",SUMIF('İCRA DOSYALARI'!$A$2:$A$200,$A13,'İCRA DOSYALARI'!$N$2:$N$200))</f>
        <v/>
      </c>
      <c r="E13" s="11">
        <f>IF($A13="","",SUMIF('İCRA DOSYALARI'!$A$2:$A$200,$A13,'İCRA DOSYALARI'!$O$2:$O$200))</f>
        <v/>
      </c>
      <c r="F13" s="8">
        <f>IF($A13="","",IFERROR(INDEX('İCRA DOSYALARI'!$D$2:$D$200,MATCH($A13&amp;"|ÖDEMEDE",'İCRA DOSYALARI'!$S$2:$S$200,0)),"-"))</f>
        <v/>
      </c>
      <c r="G13" s="11">
        <f>IF($A13="","",IFERROR(INDEX('İCRA DOSYALARI'!$O$2:$O$200,MATCH($A13&amp;"|ÖDEMEDE",'İCRA DOSYALARI'!$S$2:$S$200,0)),"-"))</f>
        <v/>
      </c>
    </row>
    <row r="14">
      <c r="A14" s="8" t="n"/>
      <c r="B14" s="8">
        <f>IF($A14="","",COUNTIF('İCRA DOSYALARI'!$A$2:$A$200,$A14))</f>
        <v/>
      </c>
      <c r="C14" s="11">
        <f>IF($A14="","",SUMIF('İCRA DOSYALARI'!$A$2:$A$200,$A14,'İCRA DOSYALARI'!$H$2:$H$200))</f>
        <v/>
      </c>
      <c r="D14" s="11">
        <f>IF($A14="","",SUMIF('İCRA DOSYALARI'!$A$2:$A$200,$A14,'İCRA DOSYALARI'!$N$2:$N$200))</f>
        <v/>
      </c>
      <c r="E14" s="11">
        <f>IF($A14="","",SUMIF('İCRA DOSYALARI'!$A$2:$A$200,$A14,'İCRA DOSYALARI'!$O$2:$O$200))</f>
        <v/>
      </c>
      <c r="F14" s="8">
        <f>IF($A14="","",IFERROR(INDEX('İCRA DOSYALARI'!$D$2:$D$200,MATCH($A14&amp;"|ÖDEMEDE",'İCRA DOSYALARI'!$S$2:$S$200,0)),"-"))</f>
        <v/>
      </c>
      <c r="G14" s="11">
        <f>IF($A14="","",IFERROR(INDEX('İCRA DOSYALARI'!$O$2:$O$200,MATCH($A14&amp;"|ÖDEMEDE",'İCRA DOSYALARI'!$S$2:$S$200,0)),"-"))</f>
        <v/>
      </c>
    </row>
    <row r="15">
      <c r="A15" s="8" t="n"/>
      <c r="B15" s="8">
        <f>IF($A15="","",COUNTIF('İCRA DOSYALARI'!$A$2:$A$200,$A15))</f>
        <v/>
      </c>
      <c r="C15" s="11">
        <f>IF($A15="","",SUMIF('İCRA DOSYALARI'!$A$2:$A$200,$A15,'İCRA DOSYALARI'!$H$2:$H$200))</f>
        <v/>
      </c>
      <c r="D15" s="11">
        <f>IF($A15="","",SUMIF('İCRA DOSYALARI'!$A$2:$A$200,$A15,'İCRA DOSYALARI'!$N$2:$N$200))</f>
        <v/>
      </c>
      <c r="E15" s="11">
        <f>IF($A15="","",SUMIF('İCRA DOSYALARI'!$A$2:$A$200,$A15,'İCRA DOSYALARI'!$O$2:$O$200))</f>
        <v/>
      </c>
      <c r="F15" s="8">
        <f>IF($A15="","",IFERROR(INDEX('İCRA DOSYALARI'!$D$2:$D$200,MATCH($A15&amp;"|ÖDEMEDE",'İCRA DOSYALARI'!$S$2:$S$200,0)),"-"))</f>
        <v/>
      </c>
      <c r="G15" s="11">
        <f>IF($A15="","",IFERROR(INDEX('İCRA DOSYALARI'!$O$2:$O$200,MATCH($A15&amp;"|ÖDEMEDE",'İCRA DOSYALARI'!$S$2:$S$200,0)),"-"))</f>
        <v/>
      </c>
    </row>
    <row r="16">
      <c r="A16" s="8" t="n"/>
      <c r="B16" s="8">
        <f>IF($A16="","",COUNTIF('İCRA DOSYALARI'!$A$2:$A$200,$A16))</f>
        <v/>
      </c>
      <c r="C16" s="11">
        <f>IF($A16="","",SUMIF('İCRA DOSYALARI'!$A$2:$A$200,$A16,'İCRA DOSYALARI'!$H$2:$H$200))</f>
        <v/>
      </c>
      <c r="D16" s="11">
        <f>IF($A16="","",SUMIF('İCRA DOSYALARI'!$A$2:$A$200,$A16,'İCRA DOSYALARI'!$N$2:$N$200))</f>
        <v/>
      </c>
      <c r="E16" s="11">
        <f>IF($A16="","",SUMIF('İCRA DOSYALARI'!$A$2:$A$200,$A16,'İCRA DOSYALARI'!$O$2:$O$200))</f>
        <v/>
      </c>
      <c r="F16" s="8">
        <f>IF($A16="","",IFERROR(INDEX('İCRA DOSYALARI'!$D$2:$D$200,MATCH($A16&amp;"|ÖDEMEDE",'İCRA DOSYALARI'!$S$2:$S$200,0)),"-"))</f>
        <v/>
      </c>
      <c r="G16" s="11">
        <f>IF($A16="","",IFERROR(INDEX('İCRA DOSYALARI'!$O$2:$O$200,MATCH($A16&amp;"|ÖDEMEDE",'İCRA DOSYALARI'!$S$2:$S$200,0)),"-"))</f>
        <v/>
      </c>
    </row>
    <row r="17">
      <c r="A17" s="8" t="n"/>
      <c r="B17" s="8">
        <f>IF($A17="","",COUNTIF('İCRA DOSYALARI'!$A$2:$A$200,$A17))</f>
        <v/>
      </c>
      <c r="C17" s="11">
        <f>IF($A17="","",SUMIF('İCRA DOSYALARI'!$A$2:$A$200,$A17,'İCRA DOSYALARI'!$H$2:$H$200))</f>
        <v/>
      </c>
      <c r="D17" s="11">
        <f>IF($A17="","",SUMIF('İCRA DOSYALARI'!$A$2:$A$200,$A17,'İCRA DOSYALARI'!$N$2:$N$200))</f>
        <v/>
      </c>
      <c r="E17" s="11">
        <f>IF($A17="","",SUMIF('İCRA DOSYALARI'!$A$2:$A$200,$A17,'İCRA DOSYALARI'!$O$2:$O$200))</f>
        <v/>
      </c>
      <c r="F17" s="8">
        <f>IF($A17="","",IFERROR(INDEX('İCRA DOSYALARI'!$D$2:$D$200,MATCH($A17&amp;"|ÖDEMEDE",'İCRA DOSYALARI'!$S$2:$S$200,0)),"-"))</f>
        <v/>
      </c>
      <c r="G17" s="11">
        <f>IF($A17="","",IFERROR(INDEX('İCRA DOSYALARI'!$O$2:$O$200,MATCH($A17&amp;"|ÖDEMEDE",'İCRA DOSYALARI'!$S$2:$S$200,0)),"-"))</f>
        <v/>
      </c>
    </row>
    <row r="18">
      <c r="A18" s="8" t="n"/>
      <c r="B18" s="8">
        <f>IF($A18="","",COUNTIF('İCRA DOSYALARI'!$A$2:$A$200,$A18))</f>
        <v/>
      </c>
      <c r="C18" s="11">
        <f>IF($A18="","",SUMIF('İCRA DOSYALARI'!$A$2:$A$200,$A18,'İCRA DOSYALARI'!$H$2:$H$200))</f>
        <v/>
      </c>
      <c r="D18" s="11">
        <f>IF($A18="","",SUMIF('İCRA DOSYALARI'!$A$2:$A$200,$A18,'İCRA DOSYALARI'!$N$2:$N$200))</f>
        <v/>
      </c>
      <c r="E18" s="11">
        <f>IF($A18="","",SUMIF('İCRA DOSYALARI'!$A$2:$A$200,$A18,'İCRA DOSYALARI'!$O$2:$O$200))</f>
        <v/>
      </c>
      <c r="F18" s="8">
        <f>IF($A18="","",IFERROR(INDEX('İCRA DOSYALARI'!$D$2:$D$200,MATCH($A18&amp;"|ÖDEMEDE",'İCRA DOSYALARI'!$S$2:$S$200,0)),"-"))</f>
        <v/>
      </c>
      <c r="G18" s="11">
        <f>IF($A18="","",IFERROR(INDEX('İCRA DOSYALARI'!$O$2:$O$200,MATCH($A18&amp;"|ÖDEMEDE",'İCRA DOSYALARI'!$S$2:$S$200,0)),"-"))</f>
        <v/>
      </c>
    </row>
    <row r="19">
      <c r="A19" s="8" t="n"/>
      <c r="B19" s="8">
        <f>IF($A19="","",COUNTIF('İCRA DOSYALARI'!$A$2:$A$200,$A19))</f>
        <v/>
      </c>
      <c r="C19" s="11">
        <f>IF($A19="","",SUMIF('İCRA DOSYALARI'!$A$2:$A$200,$A19,'İCRA DOSYALARI'!$H$2:$H$200))</f>
        <v/>
      </c>
      <c r="D19" s="11">
        <f>IF($A19="","",SUMIF('İCRA DOSYALARI'!$A$2:$A$200,$A19,'İCRA DOSYALARI'!$N$2:$N$200))</f>
        <v/>
      </c>
      <c r="E19" s="11">
        <f>IF($A19="","",SUMIF('İCRA DOSYALARI'!$A$2:$A$200,$A19,'İCRA DOSYALARI'!$O$2:$O$200))</f>
        <v/>
      </c>
      <c r="F19" s="8">
        <f>IF($A19="","",IFERROR(INDEX('İCRA DOSYALARI'!$D$2:$D$200,MATCH($A19&amp;"|ÖDEMEDE",'İCRA DOSYALARI'!$S$2:$S$200,0)),"-"))</f>
        <v/>
      </c>
      <c r="G19" s="11">
        <f>IF($A19="","",IFERROR(INDEX('İCRA DOSYALARI'!$O$2:$O$200,MATCH($A19&amp;"|ÖDEMEDE",'İCRA DOSYALARI'!$S$2:$S$200,0)),"-"))</f>
        <v/>
      </c>
    </row>
    <row r="20">
      <c r="A20" s="8" t="n"/>
      <c r="B20" s="8">
        <f>IF($A20="","",COUNTIF('İCRA DOSYALARI'!$A$2:$A$200,$A20))</f>
        <v/>
      </c>
      <c r="C20" s="11">
        <f>IF($A20="","",SUMIF('İCRA DOSYALARI'!$A$2:$A$200,$A20,'İCRA DOSYALARI'!$H$2:$H$200))</f>
        <v/>
      </c>
      <c r="D20" s="11">
        <f>IF($A20="","",SUMIF('İCRA DOSYALARI'!$A$2:$A$200,$A20,'İCRA DOSYALARI'!$N$2:$N$200))</f>
        <v/>
      </c>
      <c r="E20" s="11">
        <f>IF($A20="","",SUMIF('İCRA DOSYALARI'!$A$2:$A$200,$A20,'İCRA DOSYALARI'!$O$2:$O$200))</f>
        <v/>
      </c>
      <c r="F20" s="8">
        <f>IF($A20="","",IFERROR(INDEX('İCRA DOSYALARI'!$D$2:$D$200,MATCH($A20&amp;"|ÖDEMEDE",'İCRA DOSYALARI'!$S$2:$S$200,0)),"-"))</f>
        <v/>
      </c>
      <c r="G20" s="11">
        <f>IF($A20="","",IFERROR(INDEX('İCRA DOSYALARI'!$O$2:$O$200,MATCH($A20&amp;"|ÖDEMEDE",'İCRA DOSYALARI'!$S$2:$S$200,0)),"-"))</f>
        <v/>
      </c>
    </row>
    <row r="21">
      <c r="A21" s="8" t="n"/>
      <c r="B21" s="8">
        <f>IF($A21="","",COUNTIF('İCRA DOSYALARI'!$A$2:$A$200,$A21))</f>
        <v/>
      </c>
      <c r="C21" s="11">
        <f>IF($A21="","",SUMIF('İCRA DOSYALARI'!$A$2:$A$200,$A21,'İCRA DOSYALARI'!$H$2:$H$200))</f>
        <v/>
      </c>
      <c r="D21" s="11">
        <f>IF($A21="","",SUMIF('İCRA DOSYALARI'!$A$2:$A$200,$A21,'İCRA DOSYALARI'!$N$2:$N$200))</f>
        <v/>
      </c>
      <c r="E21" s="11">
        <f>IF($A21="","",SUMIF('İCRA DOSYALARI'!$A$2:$A$200,$A21,'İCRA DOSYALARI'!$O$2:$O$200))</f>
        <v/>
      </c>
      <c r="F21" s="8">
        <f>IF($A21="","",IFERROR(INDEX('İCRA DOSYALARI'!$D$2:$D$200,MATCH($A21&amp;"|ÖDEMEDE",'İCRA DOSYALARI'!$S$2:$S$200,0)),"-"))</f>
        <v/>
      </c>
      <c r="G21" s="11">
        <f>IF($A21="","",IFERROR(INDEX('İCRA DOSYALARI'!$O$2:$O$200,MATCH($A21&amp;"|ÖDEMEDE",'İCRA DOSYALARI'!$S$2:$S$200,0)),"-"))</f>
        <v/>
      </c>
    </row>
    <row r="22">
      <c r="A22" s="8" t="n"/>
      <c r="B22" s="8">
        <f>IF($A22="","",COUNTIF('İCRA DOSYALARI'!$A$2:$A$200,$A22))</f>
        <v/>
      </c>
      <c r="C22" s="11">
        <f>IF($A22="","",SUMIF('İCRA DOSYALARI'!$A$2:$A$200,$A22,'İCRA DOSYALARI'!$H$2:$H$200))</f>
        <v/>
      </c>
      <c r="D22" s="11">
        <f>IF($A22="","",SUMIF('İCRA DOSYALARI'!$A$2:$A$200,$A22,'İCRA DOSYALARI'!$N$2:$N$200))</f>
        <v/>
      </c>
      <c r="E22" s="11">
        <f>IF($A22="","",SUMIF('İCRA DOSYALARI'!$A$2:$A$200,$A22,'İCRA DOSYALARI'!$O$2:$O$200))</f>
        <v/>
      </c>
      <c r="F22" s="8">
        <f>IF($A22="","",IFERROR(INDEX('İCRA DOSYALARI'!$D$2:$D$200,MATCH($A22&amp;"|ÖDEMEDE",'İCRA DOSYALARI'!$S$2:$S$200,0)),"-"))</f>
        <v/>
      </c>
      <c r="G22" s="11">
        <f>IF($A22="","",IFERROR(INDEX('İCRA DOSYALARI'!$O$2:$O$200,MATCH($A22&amp;"|ÖDEMEDE",'İCRA DOSYALARI'!$S$2:$S$200,0)),"-"))</f>
        <v/>
      </c>
    </row>
    <row r="23">
      <c r="A23" s="8" t="n"/>
      <c r="B23" s="8">
        <f>IF($A23="","",COUNTIF('İCRA DOSYALARI'!$A$2:$A$200,$A23))</f>
        <v/>
      </c>
      <c r="C23" s="11">
        <f>IF($A23="","",SUMIF('İCRA DOSYALARI'!$A$2:$A$200,$A23,'İCRA DOSYALARI'!$H$2:$H$200))</f>
        <v/>
      </c>
      <c r="D23" s="11">
        <f>IF($A23="","",SUMIF('İCRA DOSYALARI'!$A$2:$A$200,$A23,'İCRA DOSYALARI'!$N$2:$N$200))</f>
        <v/>
      </c>
      <c r="E23" s="11">
        <f>IF($A23="","",SUMIF('İCRA DOSYALARI'!$A$2:$A$200,$A23,'İCRA DOSYALARI'!$O$2:$O$200))</f>
        <v/>
      </c>
      <c r="F23" s="8">
        <f>IF($A23="","",IFERROR(INDEX('İCRA DOSYALARI'!$D$2:$D$200,MATCH($A23&amp;"|ÖDEMEDE",'İCRA DOSYALARI'!$S$2:$S$200,0)),"-"))</f>
        <v/>
      </c>
      <c r="G23" s="11">
        <f>IF($A23="","",IFERROR(INDEX('İCRA DOSYALARI'!$O$2:$O$200,MATCH($A23&amp;"|ÖDEMEDE",'İCRA DOSYALARI'!$S$2:$S$200,0)),"-"))</f>
        <v/>
      </c>
    </row>
    <row r="24">
      <c r="A24" s="8" t="n"/>
      <c r="B24" s="8">
        <f>IF($A24="","",COUNTIF('İCRA DOSYALARI'!$A$2:$A$200,$A24))</f>
        <v/>
      </c>
      <c r="C24" s="11">
        <f>IF($A24="","",SUMIF('İCRA DOSYALARI'!$A$2:$A$200,$A24,'İCRA DOSYALARI'!$H$2:$H$200))</f>
        <v/>
      </c>
      <c r="D24" s="11">
        <f>IF($A24="","",SUMIF('İCRA DOSYALARI'!$A$2:$A$200,$A24,'İCRA DOSYALARI'!$N$2:$N$200))</f>
        <v/>
      </c>
      <c r="E24" s="11">
        <f>IF($A24="","",SUMIF('İCRA DOSYALARI'!$A$2:$A$200,$A24,'İCRA DOSYALARI'!$O$2:$O$200))</f>
        <v/>
      </c>
      <c r="F24" s="8">
        <f>IF($A24="","",IFERROR(INDEX('İCRA DOSYALARI'!$D$2:$D$200,MATCH($A24&amp;"|ÖDEMEDE",'İCRA DOSYALARI'!$S$2:$S$200,0)),"-"))</f>
        <v/>
      </c>
      <c r="G24" s="11">
        <f>IF($A24="","",IFERROR(INDEX('İCRA DOSYALARI'!$O$2:$O$200,MATCH($A24&amp;"|ÖDEMEDE",'İCRA DOSYALARI'!$S$2:$S$200,0)),"-"))</f>
        <v/>
      </c>
    </row>
    <row r="25">
      <c r="A25" s="8" t="n"/>
      <c r="B25" s="8">
        <f>IF($A25="","",COUNTIF('İCRA DOSYALARI'!$A$2:$A$200,$A25))</f>
        <v/>
      </c>
      <c r="C25" s="11">
        <f>IF($A25="","",SUMIF('İCRA DOSYALARI'!$A$2:$A$200,$A25,'İCRA DOSYALARI'!$H$2:$H$200))</f>
        <v/>
      </c>
      <c r="D25" s="11">
        <f>IF($A25="","",SUMIF('İCRA DOSYALARI'!$A$2:$A$200,$A25,'İCRA DOSYALARI'!$N$2:$N$200))</f>
        <v/>
      </c>
      <c r="E25" s="11">
        <f>IF($A25="","",SUMIF('İCRA DOSYALARI'!$A$2:$A$200,$A25,'İCRA DOSYALARI'!$O$2:$O$200))</f>
        <v/>
      </c>
      <c r="F25" s="8">
        <f>IF($A25="","",IFERROR(INDEX('İCRA DOSYALARI'!$D$2:$D$200,MATCH($A25&amp;"|ÖDEMEDE",'İCRA DOSYALARI'!$S$2:$S$200,0)),"-"))</f>
        <v/>
      </c>
      <c r="G25" s="11">
        <f>IF($A25="","",IFERROR(INDEX('İCRA DOSYALARI'!$O$2:$O$200,MATCH($A25&amp;"|ÖDEMEDE",'İCRA DOSYALARI'!$S$2:$S$200,0)),"-"))</f>
        <v/>
      </c>
    </row>
    <row r="26">
      <c r="A26" s="8" t="n"/>
      <c r="B26" s="8">
        <f>IF($A26="","",COUNTIF('İCRA DOSYALARI'!$A$2:$A$200,$A26))</f>
        <v/>
      </c>
      <c r="C26" s="11">
        <f>IF($A26="","",SUMIF('İCRA DOSYALARI'!$A$2:$A$200,$A26,'İCRA DOSYALARI'!$H$2:$H$200))</f>
        <v/>
      </c>
      <c r="D26" s="11">
        <f>IF($A26="","",SUMIF('İCRA DOSYALARI'!$A$2:$A$200,$A26,'İCRA DOSYALARI'!$N$2:$N$200))</f>
        <v/>
      </c>
      <c r="E26" s="11">
        <f>IF($A26="","",SUMIF('İCRA DOSYALARI'!$A$2:$A$200,$A26,'İCRA DOSYALARI'!$O$2:$O$200))</f>
        <v/>
      </c>
      <c r="F26" s="8">
        <f>IF($A26="","",IFERROR(INDEX('İCRA DOSYALARI'!$D$2:$D$200,MATCH($A26&amp;"|ÖDEMEDE",'İCRA DOSYALARI'!$S$2:$S$200,0)),"-"))</f>
        <v/>
      </c>
      <c r="G26" s="11">
        <f>IF($A26="","",IFERROR(INDEX('İCRA DOSYALARI'!$O$2:$O$200,MATCH($A26&amp;"|ÖDEMEDE",'İCRA DOSYALARI'!$S$2:$S$200,0)),"-"))</f>
        <v/>
      </c>
    </row>
    <row r="27">
      <c r="A27" s="8" t="n"/>
      <c r="B27" s="8">
        <f>IF($A27="","",COUNTIF('İCRA DOSYALARI'!$A$2:$A$200,$A27))</f>
        <v/>
      </c>
      <c r="C27" s="11">
        <f>IF($A27="","",SUMIF('İCRA DOSYALARI'!$A$2:$A$200,$A27,'İCRA DOSYALARI'!$H$2:$H$200))</f>
        <v/>
      </c>
      <c r="D27" s="11">
        <f>IF($A27="","",SUMIF('İCRA DOSYALARI'!$A$2:$A$200,$A27,'İCRA DOSYALARI'!$N$2:$N$200))</f>
        <v/>
      </c>
      <c r="E27" s="11">
        <f>IF($A27="","",SUMIF('İCRA DOSYALARI'!$A$2:$A$200,$A27,'İCRA DOSYALARI'!$O$2:$O$200))</f>
        <v/>
      </c>
      <c r="F27" s="8">
        <f>IF($A27="","",IFERROR(INDEX('İCRA DOSYALARI'!$D$2:$D$200,MATCH($A27&amp;"|ÖDEMEDE",'İCRA DOSYALARI'!$S$2:$S$200,0)),"-"))</f>
        <v/>
      </c>
      <c r="G27" s="11">
        <f>IF($A27="","",IFERROR(INDEX('İCRA DOSYALARI'!$O$2:$O$200,MATCH($A27&amp;"|ÖDEMEDE",'İCRA DOSYALARI'!$S$2:$S$200,0)),"-"))</f>
        <v/>
      </c>
    </row>
    <row r="28">
      <c r="A28" s="8" t="n"/>
      <c r="B28" s="8">
        <f>IF($A28="","",COUNTIF('İCRA DOSYALARI'!$A$2:$A$200,$A28))</f>
        <v/>
      </c>
      <c r="C28" s="11">
        <f>IF($A28="","",SUMIF('İCRA DOSYALARI'!$A$2:$A$200,$A28,'İCRA DOSYALARI'!$H$2:$H$200))</f>
        <v/>
      </c>
      <c r="D28" s="11">
        <f>IF($A28="","",SUMIF('İCRA DOSYALARI'!$A$2:$A$200,$A28,'İCRA DOSYALARI'!$N$2:$N$200))</f>
        <v/>
      </c>
      <c r="E28" s="11">
        <f>IF($A28="","",SUMIF('İCRA DOSYALARI'!$A$2:$A$200,$A28,'İCRA DOSYALARI'!$O$2:$O$200))</f>
        <v/>
      </c>
      <c r="F28" s="8">
        <f>IF($A28="","",IFERROR(INDEX('İCRA DOSYALARI'!$D$2:$D$200,MATCH($A28&amp;"|ÖDEMEDE",'İCRA DOSYALARI'!$S$2:$S$200,0)),"-"))</f>
        <v/>
      </c>
      <c r="G28" s="11">
        <f>IF($A28="","",IFERROR(INDEX('İCRA DOSYALARI'!$O$2:$O$200,MATCH($A28&amp;"|ÖDEMEDE",'İCRA DOSYALARI'!$S$2:$S$200,0)),"-"))</f>
        <v/>
      </c>
    </row>
    <row r="29">
      <c r="A29" s="8" t="n"/>
      <c r="B29" s="8">
        <f>IF($A29="","",COUNTIF('İCRA DOSYALARI'!$A$2:$A$200,$A29))</f>
        <v/>
      </c>
      <c r="C29" s="11">
        <f>IF($A29="","",SUMIF('İCRA DOSYALARI'!$A$2:$A$200,$A29,'İCRA DOSYALARI'!$H$2:$H$200))</f>
        <v/>
      </c>
      <c r="D29" s="11">
        <f>IF($A29="","",SUMIF('İCRA DOSYALARI'!$A$2:$A$200,$A29,'İCRA DOSYALARI'!$N$2:$N$200))</f>
        <v/>
      </c>
      <c r="E29" s="11">
        <f>IF($A29="","",SUMIF('İCRA DOSYALARI'!$A$2:$A$200,$A29,'İCRA DOSYALARI'!$O$2:$O$200))</f>
        <v/>
      </c>
      <c r="F29" s="8">
        <f>IF($A29="","",IFERROR(INDEX('İCRA DOSYALARI'!$D$2:$D$200,MATCH($A29&amp;"|ÖDEMEDE",'İCRA DOSYALARI'!$S$2:$S$200,0)),"-"))</f>
        <v/>
      </c>
      <c r="G29" s="11">
        <f>IF($A29="","",IFERROR(INDEX('İCRA DOSYALARI'!$O$2:$O$200,MATCH($A29&amp;"|ÖDEMEDE",'İCRA DOSYALARI'!$S$2:$S$200,0)),"-"))</f>
        <v/>
      </c>
    </row>
    <row r="30">
      <c r="A30" s="8" t="n"/>
      <c r="B30" s="8">
        <f>IF($A30="","",COUNTIF('İCRA DOSYALARI'!$A$2:$A$200,$A30))</f>
        <v/>
      </c>
      <c r="C30" s="11">
        <f>IF($A30="","",SUMIF('İCRA DOSYALARI'!$A$2:$A$200,$A30,'İCRA DOSYALARI'!$H$2:$H$200))</f>
        <v/>
      </c>
      <c r="D30" s="11">
        <f>IF($A30="","",SUMIF('İCRA DOSYALARI'!$A$2:$A$200,$A30,'İCRA DOSYALARI'!$N$2:$N$200))</f>
        <v/>
      </c>
      <c r="E30" s="11">
        <f>IF($A30="","",SUMIF('İCRA DOSYALARI'!$A$2:$A$200,$A30,'İCRA DOSYALARI'!$O$2:$O$200))</f>
        <v/>
      </c>
      <c r="F30" s="8">
        <f>IF($A30="","",IFERROR(INDEX('İCRA DOSYALARI'!$D$2:$D$200,MATCH($A30&amp;"|ÖDEMEDE",'İCRA DOSYALARI'!$S$2:$S$200,0)),"-"))</f>
        <v/>
      </c>
      <c r="G30" s="11">
        <f>IF($A30="","",IFERROR(INDEX('İCRA DOSYALARI'!$O$2:$O$200,MATCH($A30&amp;"|ÖDEMEDE",'İCRA DOSYALARI'!$S$2:$S$200,0)),"-"))</f>
        <v/>
      </c>
    </row>
    <row r="31">
      <c r="A31" s="8" t="n"/>
      <c r="B31" s="8">
        <f>IF($A31="","",COUNTIF('İCRA DOSYALARI'!$A$2:$A$200,$A31))</f>
        <v/>
      </c>
      <c r="C31" s="11">
        <f>IF($A31="","",SUMIF('İCRA DOSYALARI'!$A$2:$A$200,$A31,'İCRA DOSYALARI'!$H$2:$H$200))</f>
        <v/>
      </c>
      <c r="D31" s="11">
        <f>IF($A31="","",SUMIF('İCRA DOSYALARI'!$A$2:$A$200,$A31,'İCRA DOSYALARI'!$N$2:$N$200))</f>
        <v/>
      </c>
      <c r="E31" s="11">
        <f>IF($A31="","",SUMIF('İCRA DOSYALARI'!$A$2:$A$200,$A31,'İCRA DOSYALARI'!$O$2:$O$200))</f>
        <v/>
      </c>
      <c r="F31" s="8">
        <f>IF($A31="","",IFERROR(INDEX('İCRA DOSYALARI'!$D$2:$D$200,MATCH($A31&amp;"|ÖDEMEDE",'İCRA DOSYALARI'!$S$2:$S$200,0)),"-"))</f>
        <v/>
      </c>
      <c r="G31" s="11">
        <f>IF($A31="","",IFERROR(INDEX('İCRA DOSYALARI'!$O$2:$O$200,MATCH($A31&amp;"|ÖDEMEDE",'İCRA DOSYALARI'!$S$2:$S$200,0)),"-"))</f>
        <v/>
      </c>
    </row>
    <row r="32">
      <c r="A32" s="8" t="n"/>
      <c r="B32" s="8">
        <f>IF($A32="","",COUNTIF('İCRA DOSYALARI'!$A$2:$A$200,$A32))</f>
        <v/>
      </c>
      <c r="C32" s="11">
        <f>IF($A32="","",SUMIF('İCRA DOSYALARI'!$A$2:$A$200,$A32,'İCRA DOSYALARI'!$H$2:$H$200))</f>
        <v/>
      </c>
      <c r="D32" s="11">
        <f>IF($A32="","",SUMIF('İCRA DOSYALARI'!$A$2:$A$200,$A32,'İCRA DOSYALARI'!$N$2:$N$200))</f>
        <v/>
      </c>
      <c r="E32" s="11">
        <f>IF($A32="","",SUMIF('İCRA DOSYALARI'!$A$2:$A$200,$A32,'İCRA DOSYALARI'!$O$2:$O$200))</f>
        <v/>
      </c>
      <c r="F32" s="8">
        <f>IF($A32="","",IFERROR(INDEX('İCRA DOSYALARI'!$D$2:$D$200,MATCH($A32&amp;"|ÖDEMEDE",'İCRA DOSYALARI'!$S$2:$S$200,0)),"-"))</f>
        <v/>
      </c>
      <c r="G32" s="11">
        <f>IF($A32="","",IFERROR(INDEX('İCRA DOSYALARI'!$O$2:$O$200,MATCH($A32&amp;"|ÖDEMEDE",'İCRA DOSYALARI'!$S$2:$S$200,0)),"-"))</f>
        <v/>
      </c>
    </row>
    <row r="33">
      <c r="A33" s="8" t="n"/>
      <c r="B33" s="8">
        <f>IF($A33="","",COUNTIF('İCRA DOSYALARI'!$A$2:$A$200,$A33))</f>
        <v/>
      </c>
      <c r="C33" s="11">
        <f>IF($A33="","",SUMIF('İCRA DOSYALARI'!$A$2:$A$200,$A33,'İCRA DOSYALARI'!$H$2:$H$200))</f>
        <v/>
      </c>
      <c r="D33" s="11">
        <f>IF($A33="","",SUMIF('İCRA DOSYALARI'!$A$2:$A$200,$A33,'İCRA DOSYALARI'!$N$2:$N$200))</f>
        <v/>
      </c>
      <c r="E33" s="11">
        <f>IF($A33="","",SUMIF('İCRA DOSYALARI'!$A$2:$A$200,$A33,'İCRA DOSYALARI'!$O$2:$O$200))</f>
        <v/>
      </c>
      <c r="F33" s="8">
        <f>IF($A33="","",IFERROR(INDEX('İCRA DOSYALARI'!$D$2:$D$200,MATCH($A33&amp;"|ÖDEMEDE",'İCRA DOSYALARI'!$S$2:$S$200,0)),"-"))</f>
        <v/>
      </c>
      <c r="G33" s="11">
        <f>IF($A33="","",IFERROR(INDEX('İCRA DOSYALARI'!$O$2:$O$200,MATCH($A33&amp;"|ÖDEMEDE",'İCRA DOSYALARI'!$S$2:$S$200,0)),"-"))</f>
        <v/>
      </c>
    </row>
    <row r="34">
      <c r="A34" s="8" t="n"/>
      <c r="B34" s="8">
        <f>IF($A34="","",COUNTIF('İCRA DOSYALARI'!$A$2:$A$200,$A34))</f>
        <v/>
      </c>
      <c r="C34" s="11">
        <f>IF($A34="","",SUMIF('İCRA DOSYALARI'!$A$2:$A$200,$A34,'İCRA DOSYALARI'!$H$2:$H$200))</f>
        <v/>
      </c>
      <c r="D34" s="11">
        <f>IF($A34="","",SUMIF('İCRA DOSYALARI'!$A$2:$A$200,$A34,'İCRA DOSYALARI'!$N$2:$N$200))</f>
        <v/>
      </c>
      <c r="E34" s="11">
        <f>IF($A34="","",SUMIF('İCRA DOSYALARI'!$A$2:$A$200,$A34,'İCRA DOSYALARI'!$O$2:$O$200))</f>
        <v/>
      </c>
      <c r="F34" s="8">
        <f>IF($A34="","",IFERROR(INDEX('İCRA DOSYALARI'!$D$2:$D$200,MATCH($A34&amp;"|ÖDEMEDE",'İCRA DOSYALARI'!$S$2:$S$200,0)),"-"))</f>
        <v/>
      </c>
      <c r="G34" s="11">
        <f>IF($A34="","",IFERROR(INDEX('İCRA DOSYALARI'!$O$2:$O$200,MATCH($A34&amp;"|ÖDEMEDE",'İCRA DOSYALARI'!$S$2:$S$200,0)),"-"))</f>
        <v/>
      </c>
    </row>
    <row r="35">
      <c r="A35" s="8" t="n"/>
      <c r="B35" s="8">
        <f>IF($A35="","",COUNTIF('İCRA DOSYALARI'!$A$2:$A$200,$A35))</f>
        <v/>
      </c>
      <c r="C35" s="11">
        <f>IF($A35="","",SUMIF('İCRA DOSYALARI'!$A$2:$A$200,$A35,'İCRA DOSYALARI'!$H$2:$H$200))</f>
        <v/>
      </c>
      <c r="D35" s="11">
        <f>IF($A35="","",SUMIF('İCRA DOSYALARI'!$A$2:$A$200,$A35,'İCRA DOSYALARI'!$N$2:$N$200))</f>
        <v/>
      </c>
      <c r="E35" s="11">
        <f>IF($A35="","",SUMIF('İCRA DOSYALARI'!$A$2:$A$200,$A35,'İCRA DOSYALARI'!$O$2:$O$200))</f>
        <v/>
      </c>
      <c r="F35" s="8">
        <f>IF($A35="","",IFERROR(INDEX('İCRA DOSYALARI'!$D$2:$D$200,MATCH($A35&amp;"|ÖDEMEDE",'İCRA DOSYALARI'!$S$2:$S$200,0)),"-"))</f>
        <v/>
      </c>
      <c r="G35" s="11">
        <f>IF($A35="","",IFERROR(INDEX('İCRA DOSYALARI'!$O$2:$O$200,MATCH($A35&amp;"|ÖDEMEDE",'İCRA DOSYALARI'!$S$2:$S$200,0)),"-"))</f>
        <v/>
      </c>
    </row>
    <row r="36">
      <c r="A36" s="8" t="n"/>
      <c r="B36" s="8">
        <f>IF($A36="","",COUNTIF('İCRA DOSYALARI'!$A$2:$A$200,$A36))</f>
        <v/>
      </c>
      <c r="C36" s="11">
        <f>IF($A36="","",SUMIF('İCRA DOSYALARI'!$A$2:$A$200,$A36,'İCRA DOSYALARI'!$H$2:$H$200))</f>
        <v/>
      </c>
      <c r="D36" s="11">
        <f>IF($A36="","",SUMIF('İCRA DOSYALARI'!$A$2:$A$200,$A36,'İCRA DOSYALARI'!$N$2:$N$200))</f>
        <v/>
      </c>
      <c r="E36" s="11">
        <f>IF($A36="","",SUMIF('İCRA DOSYALARI'!$A$2:$A$200,$A36,'İCRA DOSYALARI'!$O$2:$O$200))</f>
        <v/>
      </c>
      <c r="F36" s="8">
        <f>IF($A36="","",IFERROR(INDEX('İCRA DOSYALARI'!$D$2:$D$200,MATCH($A36&amp;"|ÖDEMEDE",'İCRA DOSYALARI'!$S$2:$S$200,0)),"-"))</f>
        <v/>
      </c>
      <c r="G36" s="11">
        <f>IF($A36="","",IFERROR(INDEX('İCRA DOSYALARI'!$O$2:$O$200,MATCH($A36&amp;"|ÖDEMEDE",'İCRA DOSYALARI'!$S$2:$S$200,0)),"-"))</f>
        <v/>
      </c>
    </row>
    <row r="37">
      <c r="A37" s="8" t="n"/>
      <c r="B37" s="8">
        <f>IF($A37="","",COUNTIF('İCRA DOSYALARI'!$A$2:$A$200,$A37))</f>
        <v/>
      </c>
      <c r="C37" s="11">
        <f>IF($A37="","",SUMIF('İCRA DOSYALARI'!$A$2:$A$200,$A37,'İCRA DOSYALARI'!$H$2:$H$200))</f>
        <v/>
      </c>
      <c r="D37" s="11">
        <f>IF($A37="","",SUMIF('İCRA DOSYALARI'!$A$2:$A$200,$A37,'İCRA DOSYALARI'!$N$2:$N$200))</f>
        <v/>
      </c>
      <c r="E37" s="11">
        <f>IF($A37="","",SUMIF('İCRA DOSYALARI'!$A$2:$A$200,$A37,'İCRA DOSYALARI'!$O$2:$O$200))</f>
        <v/>
      </c>
      <c r="F37" s="8">
        <f>IF($A37="","",IFERROR(INDEX('İCRA DOSYALARI'!$D$2:$D$200,MATCH($A37&amp;"|ÖDEMEDE",'İCRA DOSYALARI'!$S$2:$S$200,0)),"-"))</f>
        <v/>
      </c>
      <c r="G37" s="11">
        <f>IF($A37="","",IFERROR(INDEX('İCRA DOSYALARI'!$O$2:$O$200,MATCH($A37&amp;"|ÖDEMEDE",'İCRA DOSYALARI'!$S$2:$S$200,0)),"-"))</f>
        <v/>
      </c>
    </row>
    <row r="38">
      <c r="A38" s="8" t="n"/>
      <c r="B38" s="8">
        <f>IF($A38="","",COUNTIF('İCRA DOSYALARI'!$A$2:$A$200,$A38))</f>
        <v/>
      </c>
      <c r="C38" s="11">
        <f>IF($A38="","",SUMIF('İCRA DOSYALARI'!$A$2:$A$200,$A38,'İCRA DOSYALARI'!$H$2:$H$200))</f>
        <v/>
      </c>
      <c r="D38" s="11">
        <f>IF($A38="","",SUMIF('İCRA DOSYALARI'!$A$2:$A$200,$A38,'İCRA DOSYALARI'!$N$2:$N$200))</f>
        <v/>
      </c>
      <c r="E38" s="11">
        <f>IF($A38="","",SUMIF('İCRA DOSYALARI'!$A$2:$A$200,$A38,'İCRA DOSYALARI'!$O$2:$O$200))</f>
        <v/>
      </c>
      <c r="F38" s="8">
        <f>IF($A38="","",IFERROR(INDEX('İCRA DOSYALARI'!$D$2:$D$200,MATCH($A38&amp;"|ÖDEMEDE",'İCRA DOSYALARI'!$S$2:$S$200,0)),"-"))</f>
        <v/>
      </c>
      <c r="G38" s="11">
        <f>IF($A38="","",IFERROR(INDEX('İCRA DOSYALARI'!$O$2:$O$200,MATCH($A38&amp;"|ÖDEMEDE",'İCRA DOSYALARI'!$S$2:$S$200,0)),"-"))</f>
        <v/>
      </c>
    </row>
    <row r="39">
      <c r="A39" s="8" t="n"/>
      <c r="B39" s="8">
        <f>IF($A39="","",COUNTIF('İCRA DOSYALARI'!$A$2:$A$200,$A39))</f>
        <v/>
      </c>
      <c r="C39" s="11">
        <f>IF($A39="","",SUMIF('İCRA DOSYALARI'!$A$2:$A$200,$A39,'İCRA DOSYALARI'!$H$2:$H$200))</f>
        <v/>
      </c>
      <c r="D39" s="11">
        <f>IF($A39="","",SUMIF('İCRA DOSYALARI'!$A$2:$A$200,$A39,'İCRA DOSYALARI'!$N$2:$N$200))</f>
        <v/>
      </c>
      <c r="E39" s="11">
        <f>IF($A39="","",SUMIF('İCRA DOSYALARI'!$A$2:$A$200,$A39,'İCRA DOSYALARI'!$O$2:$O$200))</f>
        <v/>
      </c>
      <c r="F39" s="8">
        <f>IF($A39="","",IFERROR(INDEX('İCRA DOSYALARI'!$D$2:$D$200,MATCH($A39&amp;"|ÖDEMEDE",'İCRA DOSYALARI'!$S$2:$S$200,0)),"-"))</f>
        <v/>
      </c>
      <c r="G39" s="11">
        <f>IF($A39="","",IFERROR(INDEX('İCRA DOSYALARI'!$O$2:$O$200,MATCH($A39&amp;"|ÖDEMEDE",'İCRA DOSYALARI'!$S$2:$S$200,0)),"-"))</f>
        <v/>
      </c>
    </row>
    <row r="40">
      <c r="A40" s="8" t="n"/>
      <c r="B40" s="8">
        <f>IF($A40="","",COUNTIF('İCRA DOSYALARI'!$A$2:$A$200,$A40))</f>
        <v/>
      </c>
      <c r="C40" s="11">
        <f>IF($A40="","",SUMIF('İCRA DOSYALARI'!$A$2:$A$200,$A40,'İCRA DOSYALARI'!$H$2:$H$200))</f>
        <v/>
      </c>
      <c r="D40" s="11">
        <f>IF($A40="","",SUMIF('İCRA DOSYALARI'!$A$2:$A$200,$A40,'İCRA DOSYALARI'!$N$2:$N$200))</f>
        <v/>
      </c>
      <c r="E40" s="11">
        <f>IF($A40="","",SUMIF('İCRA DOSYALARI'!$A$2:$A$200,$A40,'İCRA DOSYALARI'!$O$2:$O$200))</f>
        <v/>
      </c>
      <c r="F40" s="8">
        <f>IF($A40="","",IFERROR(INDEX('İCRA DOSYALARI'!$D$2:$D$200,MATCH($A40&amp;"|ÖDEMEDE",'İCRA DOSYALARI'!$S$2:$S$200,0)),"-"))</f>
        <v/>
      </c>
      <c r="G40" s="11">
        <f>IF($A40="","",IFERROR(INDEX('İCRA DOSYALARI'!$O$2:$O$200,MATCH($A40&amp;"|ÖDEMEDE",'İCRA DOSYALARI'!$S$2:$S$200,0)),"-"))</f>
        <v/>
      </c>
    </row>
    <row r="41">
      <c r="A41" s="8" t="n"/>
      <c r="B41" s="8">
        <f>IF($A41="","",COUNTIF('İCRA DOSYALARI'!$A$2:$A$200,$A41))</f>
        <v/>
      </c>
      <c r="C41" s="11">
        <f>IF($A41="","",SUMIF('İCRA DOSYALARI'!$A$2:$A$200,$A41,'İCRA DOSYALARI'!$H$2:$H$200))</f>
        <v/>
      </c>
      <c r="D41" s="11">
        <f>IF($A41="","",SUMIF('İCRA DOSYALARI'!$A$2:$A$200,$A41,'İCRA DOSYALARI'!$N$2:$N$200))</f>
        <v/>
      </c>
      <c r="E41" s="11">
        <f>IF($A41="","",SUMIF('İCRA DOSYALARI'!$A$2:$A$200,$A41,'İCRA DOSYALARI'!$O$2:$O$200))</f>
        <v/>
      </c>
      <c r="F41" s="8">
        <f>IF($A41="","",IFERROR(INDEX('İCRA DOSYALARI'!$D$2:$D$200,MATCH($A41&amp;"|ÖDEMEDE",'İCRA DOSYALARI'!$S$2:$S$200,0)),"-"))</f>
        <v/>
      </c>
      <c r="G41" s="11">
        <f>IF($A41="","",IFERROR(INDEX('İCRA DOSYALARI'!$O$2:$O$200,MATCH($A41&amp;"|ÖDEMEDE",'İCRA DOSYALARI'!$S$2:$S$200,0)),"-"))</f>
        <v/>
      </c>
    </row>
    <row r="42">
      <c r="A42" s="8" t="n"/>
      <c r="B42" s="8">
        <f>IF($A42="","",COUNTIF('İCRA DOSYALARI'!$A$2:$A$200,$A42))</f>
        <v/>
      </c>
      <c r="C42" s="11">
        <f>IF($A42="","",SUMIF('İCRA DOSYALARI'!$A$2:$A$200,$A42,'İCRA DOSYALARI'!$H$2:$H$200))</f>
        <v/>
      </c>
      <c r="D42" s="11">
        <f>IF($A42="","",SUMIF('İCRA DOSYALARI'!$A$2:$A$200,$A42,'İCRA DOSYALARI'!$N$2:$N$200))</f>
        <v/>
      </c>
      <c r="E42" s="11">
        <f>IF($A42="","",SUMIF('İCRA DOSYALARI'!$A$2:$A$200,$A42,'İCRA DOSYALARI'!$O$2:$O$200))</f>
        <v/>
      </c>
      <c r="F42" s="8">
        <f>IF($A42="","",IFERROR(INDEX('İCRA DOSYALARI'!$D$2:$D$200,MATCH($A42&amp;"|ÖDEMEDE",'İCRA DOSYALARI'!$S$2:$S$200,0)),"-"))</f>
        <v/>
      </c>
      <c r="G42" s="11">
        <f>IF($A42="","",IFERROR(INDEX('İCRA DOSYALARI'!$O$2:$O$200,MATCH($A42&amp;"|ÖDEMEDE",'İCRA DOSYALARI'!$S$2:$S$200,0)),"-"))</f>
        <v/>
      </c>
    </row>
    <row r="43">
      <c r="A43" s="8" t="n"/>
      <c r="B43" s="8">
        <f>IF($A43="","",COUNTIF('İCRA DOSYALARI'!$A$2:$A$200,$A43))</f>
        <v/>
      </c>
      <c r="C43" s="11">
        <f>IF($A43="","",SUMIF('İCRA DOSYALARI'!$A$2:$A$200,$A43,'İCRA DOSYALARI'!$H$2:$H$200))</f>
        <v/>
      </c>
      <c r="D43" s="11">
        <f>IF($A43="","",SUMIF('İCRA DOSYALARI'!$A$2:$A$200,$A43,'İCRA DOSYALARI'!$N$2:$N$200))</f>
        <v/>
      </c>
      <c r="E43" s="11">
        <f>IF($A43="","",SUMIF('İCRA DOSYALARI'!$A$2:$A$200,$A43,'İCRA DOSYALARI'!$O$2:$O$200))</f>
        <v/>
      </c>
      <c r="F43" s="8">
        <f>IF($A43="","",IFERROR(INDEX('İCRA DOSYALARI'!$D$2:$D$200,MATCH($A43&amp;"|ÖDEMEDE",'İCRA DOSYALARI'!$S$2:$S$200,0)),"-"))</f>
        <v/>
      </c>
      <c r="G43" s="11">
        <f>IF($A43="","",IFERROR(INDEX('İCRA DOSYALARI'!$O$2:$O$200,MATCH($A43&amp;"|ÖDEMEDE",'İCRA DOSYALARI'!$S$2:$S$200,0)),"-"))</f>
        <v/>
      </c>
    </row>
    <row r="44">
      <c r="A44" s="8" t="n"/>
      <c r="B44" s="8">
        <f>IF($A44="","",COUNTIF('İCRA DOSYALARI'!$A$2:$A$200,$A44))</f>
        <v/>
      </c>
      <c r="C44" s="11">
        <f>IF($A44="","",SUMIF('İCRA DOSYALARI'!$A$2:$A$200,$A44,'İCRA DOSYALARI'!$H$2:$H$200))</f>
        <v/>
      </c>
      <c r="D44" s="11">
        <f>IF($A44="","",SUMIF('İCRA DOSYALARI'!$A$2:$A$200,$A44,'İCRA DOSYALARI'!$N$2:$N$200))</f>
        <v/>
      </c>
      <c r="E44" s="11">
        <f>IF($A44="","",SUMIF('İCRA DOSYALARI'!$A$2:$A$200,$A44,'İCRA DOSYALARI'!$O$2:$O$200))</f>
        <v/>
      </c>
      <c r="F44" s="8">
        <f>IF($A44="","",IFERROR(INDEX('İCRA DOSYALARI'!$D$2:$D$200,MATCH($A44&amp;"|ÖDEMEDE",'İCRA DOSYALARI'!$S$2:$S$200,0)),"-"))</f>
        <v/>
      </c>
      <c r="G44" s="11">
        <f>IF($A44="","",IFERROR(INDEX('İCRA DOSYALARI'!$O$2:$O$200,MATCH($A44&amp;"|ÖDEMEDE",'İCRA DOSYALARI'!$S$2:$S$200,0)),"-"))</f>
        <v/>
      </c>
    </row>
    <row r="45">
      <c r="A45" s="8" t="n"/>
      <c r="B45" s="8">
        <f>IF($A45="","",COUNTIF('İCRA DOSYALARI'!$A$2:$A$200,$A45))</f>
        <v/>
      </c>
      <c r="C45" s="11">
        <f>IF($A45="","",SUMIF('İCRA DOSYALARI'!$A$2:$A$200,$A45,'İCRA DOSYALARI'!$H$2:$H$200))</f>
        <v/>
      </c>
      <c r="D45" s="11">
        <f>IF($A45="","",SUMIF('İCRA DOSYALARI'!$A$2:$A$200,$A45,'İCRA DOSYALARI'!$N$2:$N$200))</f>
        <v/>
      </c>
      <c r="E45" s="11">
        <f>IF($A45="","",SUMIF('İCRA DOSYALARI'!$A$2:$A$200,$A45,'İCRA DOSYALARI'!$O$2:$O$200))</f>
        <v/>
      </c>
      <c r="F45" s="8">
        <f>IF($A45="","",IFERROR(INDEX('İCRA DOSYALARI'!$D$2:$D$200,MATCH($A45&amp;"|ÖDEMEDE",'İCRA DOSYALARI'!$S$2:$S$200,0)),"-"))</f>
        <v/>
      </c>
      <c r="G45" s="11">
        <f>IF($A45="","",IFERROR(INDEX('İCRA DOSYALARI'!$O$2:$O$200,MATCH($A45&amp;"|ÖDEMEDE",'İCRA DOSYALARI'!$S$2:$S$200,0)),"-"))</f>
        <v/>
      </c>
    </row>
    <row r="46">
      <c r="A46" s="8" t="n"/>
      <c r="B46" s="8">
        <f>IF($A46="","",COUNTIF('İCRA DOSYALARI'!$A$2:$A$200,$A46))</f>
        <v/>
      </c>
      <c r="C46" s="11">
        <f>IF($A46="","",SUMIF('İCRA DOSYALARI'!$A$2:$A$200,$A46,'İCRA DOSYALARI'!$H$2:$H$200))</f>
        <v/>
      </c>
      <c r="D46" s="11">
        <f>IF($A46="","",SUMIF('İCRA DOSYALARI'!$A$2:$A$200,$A46,'İCRA DOSYALARI'!$N$2:$N$200))</f>
        <v/>
      </c>
      <c r="E46" s="11">
        <f>IF($A46="","",SUMIF('İCRA DOSYALARI'!$A$2:$A$200,$A46,'İCRA DOSYALARI'!$O$2:$O$200))</f>
        <v/>
      </c>
      <c r="F46" s="8">
        <f>IF($A46="","",IFERROR(INDEX('İCRA DOSYALARI'!$D$2:$D$200,MATCH($A46&amp;"|ÖDEMEDE",'İCRA DOSYALARI'!$S$2:$S$200,0)),"-"))</f>
        <v/>
      </c>
      <c r="G46" s="11">
        <f>IF($A46="","",IFERROR(INDEX('İCRA DOSYALARI'!$O$2:$O$200,MATCH($A46&amp;"|ÖDEMEDE",'İCRA DOSYALARI'!$S$2:$S$200,0)),"-"))</f>
        <v/>
      </c>
    </row>
    <row r="47">
      <c r="A47" s="8" t="n"/>
      <c r="B47" s="8">
        <f>IF($A47="","",COUNTIF('İCRA DOSYALARI'!$A$2:$A$200,$A47))</f>
        <v/>
      </c>
      <c r="C47" s="11">
        <f>IF($A47="","",SUMIF('İCRA DOSYALARI'!$A$2:$A$200,$A47,'İCRA DOSYALARI'!$H$2:$H$200))</f>
        <v/>
      </c>
      <c r="D47" s="11">
        <f>IF($A47="","",SUMIF('İCRA DOSYALARI'!$A$2:$A$200,$A47,'İCRA DOSYALARI'!$N$2:$N$200))</f>
        <v/>
      </c>
      <c r="E47" s="11">
        <f>IF($A47="","",SUMIF('İCRA DOSYALARI'!$A$2:$A$200,$A47,'İCRA DOSYALARI'!$O$2:$O$200))</f>
        <v/>
      </c>
      <c r="F47" s="8">
        <f>IF($A47="","",IFERROR(INDEX('İCRA DOSYALARI'!$D$2:$D$200,MATCH($A47&amp;"|ÖDEMEDE",'İCRA DOSYALARI'!$S$2:$S$200,0)),"-"))</f>
        <v/>
      </c>
      <c r="G47" s="11">
        <f>IF($A47="","",IFERROR(INDEX('İCRA DOSYALARI'!$O$2:$O$200,MATCH($A47&amp;"|ÖDEMEDE",'İCRA DOSYALARI'!$S$2:$S$200,0)),"-"))</f>
        <v/>
      </c>
    </row>
    <row r="48">
      <c r="A48" s="8" t="n"/>
      <c r="B48" s="8">
        <f>IF($A48="","",COUNTIF('İCRA DOSYALARI'!$A$2:$A$200,$A48))</f>
        <v/>
      </c>
      <c r="C48" s="11">
        <f>IF($A48="","",SUMIF('İCRA DOSYALARI'!$A$2:$A$200,$A48,'İCRA DOSYALARI'!$H$2:$H$200))</f>
        <v/>
      </c>
      <c r="D48" s="11">
        <f>IF($A48="","",SUMIF('İCRA DOSYALARI'!$A$2:$A$200,$A48,'İCRA DOSYALARI'!$N$2:$N$200))</f>
        <v/>
      </c>
      <c r="E48" s="11">
        <f>IF($A48="","",SUMIF('İCRA DOSYALARI'!$A$2:$A$200,$A48,'İCRA DOSYALARI'!$O$2:$O$200))</f>
        <v/>
      </c>
      <c r="F48" s="8">
        <f>IF($A48="","",IFERROR(INDEX('İCRA DOSYALARI'!$D$2:$D$200,MATCH($A48&amp;"|ÖDEMEDE",'İCRA DOSYALARI'!$S$2:$S$200,0)),"-"))</f>
        <v/>
      </c>
      <c r="G48" s="11">
        <f>IF($A48="","",IFERROR(INDEX('İCRA DOSYALARI'!$O$2:$O$200,MATCH($A48&amp;"|ÖDEMEDE",'İCRA DOSYALARI'!$S$2:$S$200,0)),"-"))</f>
        <v/>
      </c>
    </row>
    <row r="49">
      <c r="A49" s="8" t="n"/>
      <c r="B49" s="8">
        <f>IF($A49="","",COUNTIF('İCRA DOSYALARI'!$A$2:$A$200,$A49))</f>
        <v/>
      </c>
      <c r="C49" s="11">
        <f>IF($A49="","",SUMIF('İCRA DOSYALARI'!$A$2:$A$200,$A49,'İCRA DOSYALARI'!$H$2:$H$200))</f>
        <v/>
      </c>
      <c r="D49" s="11">
        <f>IF($A49="","",SUMIF('İCRA DOSYALARI'!$A$2:$A$200,$A49,'İCRA DOSYALARI'!$N$2:$N$200))</f>
        <v/>
      </c>
      <c r="E49" s="11">
        <f>IF($A49="","",SUMIF('İCRA DOSYALARI'!$A$2:$A$200,$A49,'İCRA DOSYALARI'!$O$2:$O$200))</f>
        <v/>
      </c>
      <c r="F49" s="8">
        <f>IF($A49="","",IFERROR(INDEX('İCRA DOSYALARI'!$D$2:$D$200,MATCH($A49&amp;"|ÖDEMEDE",'İCRA DOSYALARI'!$S$2:$S$200,0)),"-"))</f>
        <v/>
      </c>
      <c r="G49" s="11">
        <f>IF($A49="","",IFERROR(INDEX('İCRA DOSYALARI'!$O$2:$O$200,MATCH($A49&amp;"|ÖDEMEDE",'İCRA DOSYALARI'!$S$2:$S$200,0)),"-"))</f>
        <v/>
      </c>
    </row>
    <row r="50">
      <c r="A50" s="8" t="n"/>
      <c r="B50" s="8">
        <f>IF($A50="","",COUNTIF('İCRA DOSYALARI'!$A$2:$A$200,$A50))</f>
        <v/>
      </c>
      <c r="C50" s="11">
        <f>IF($A50="","",SUMIF('İCRA DOSYALARI'!$A$2:$A$200,$A50,'İCRA DOSYALARI'!$H$2:$H$200))</f>
        <v/>
      </c>
      <c r="D50" s="11">
        <f>IF($A50="","",SUMIF('İCRA DOSYALARI'!$A$2:$A$200,$A50,'İCRA DOSYALARI'!$N$2:$N$200))</f>
        <v/>
      </c>
      <c r="E50" s="11">
        <f>IF($A50="","",SUMIF('İCRA DOSYALARI'!$A$2:$A$200,$A50,'İCRA DOSYALARI'!$O$2:$O$200))</f>
        <v/>
      </c>
      <c r="F50" s="8">
        <f>IF($A50="","",IFERROR(INDEX('İCRA DOSYALARI'!$D$2:$D$200,MATCH($A50&amp;"|ÖDEMEDE",'İCRA DOSYALARI'!$S$2:$S$200,0)),"-"))</f>
        <v/>
      </c>
      <c r="G50" s="11">
        <f>IF($A50="","",IFERROR(INDEX('İCRA DOSYALARI'!$O$2:$O$200,MATCH($A50&amp;"|ÖDEMEDE",'İCRA DOSYALARI'!$S$2:$S$200,0)),"-"))</f>
        <v/>
      </c>
    </row>
    <row r="51">
      <c r="A51" s="8" t="n"/>
      <c r="B51" s="8">
        <f>IF($A51="","",COUNTIF('İCRA DOSYALARI'!$A$2:$A$200,$A51))</f>
        <v/>
      </c>
      <c r="C51" s="11">
        <f>IF($A51="","",SUMIF('İCRA DOSYALARI'!$A$2:$A$200,$A51,'İCRA DOSYALARI'!$H$2:$H$200))</f>
        <v/>
      </c>
      <c r="D51" s="11">
        <f>IF($A51="","",SUMIF('İCRA DOSYALARI'!$A$2:$A$200,$A51,'İCRA DOSYALARI'!$N$2:$N$200))</f>
        <v/>
      </c>
      <c r="E51" s="11">
        <f>IF($A51="","",SUMIF('İCRA DOSYALARI'!$A$2:$A$200,$A51,'İCRA DOSYALARI'!$O$2:$O$200))</f>
        <v/>
      </c>
      <c r="F51" s="8">
        <f>IF($A51="","",IFERROR(INDEX('İCRA DOSYALARI'!$D$2:$D$200,MATCH($A51&amp;"|ÖDEMEDE",'İCRA DOSYALARI'!$S$2:$S$200,0)),"-"))</f>
        <v/>
      </c>
      <c r="G51" s="11">
        <f>IF($A51="","",IFERROR(INDEX('İCRA DOSYALARI'!$O$2:$O$200,MATCH($A51&amp;"|ÖDEMEDE",'İCRA DOSYALARI'!$S$2:$S$200,0)),"-"))</f>
        <v/>
      </c>
    </row>
    <row r="52">
      <c r="A52" s="8" t="n"/>
      <c r="B52" s="8">
        <f>IF($A52="","",COUNTIF('İCRA DOSYALARI'!$A$2:$A$200,$A52))</f>
        <v/>
      </c>
      <c r="C52" s="11">
        <f>IF($A52="","",SUMIF('İCRA DOSYALARI'!$A$2:$A$200,$A52,'İCRA DOSYALARI'!$H$2:$H$200))</f>
        <v/>
      </c>
      <c r="D52" s="11">
        <f>IF($A52="","",SUMIF('İCRA DOSYALARI'!$A$2:$A$200,$A52,'İCRA DOSYALARI'!$N$2:$N$200))</f>
        <v/>
      </c>
      <c r="E52" s="11">
        <f>IF($A52="","",SUMIF('İCRA DOSYALARI'!$A$2:$A$200,$A52,'İCRA DOSYALARI'!$O$2:$O$200))</f>
        <v/>
      </c>
      <c r="F52" s="8">
        <f>IF($A52="","",IFERROR(INDEX('İCRA DOSYALARI'!$D$2:$D$200,MATCH($A52&amp;"|ÖDEMEDE",'İCRA DOSYALARI'!$S$2:$S$200,0)),"-"))</f>
        <v/>
      </c>
      <c r="G52" s="11">
        <f>IF($A52="","",IFERROR(INDEX('İCRA DOSYALARI'!$O$2:$O$200,MATCH($A52&amp;"|ÖDEMEDE",'İCRA DOSYALARI'!$S$2:$S$200,0)),"-"))</f>
        <v/>
      </c>
    </row>
    <row r="53">
      <c r="A53" s="8" t="n"/>
      <c r="B53" s="8">
        <f>IF($A53="","",COUNTIF('İCRA DOSYALARI'!$A$2:$A$200,$A53))</f>
        <v/>
      </c>
      <c r="C53" s="11">
        <f>IF($A53="","",SUMIF('İCRA DOSYALARI'!$A$2:$A$200,$A53,'İCRA DOSYALARI'!$H$2:$H$200))</f>
        <v/>
      </c>
      <c r="D53" s="11">
        <f>IF($A53="","",SUMIF('İCRA DOSYALARI'!$A$2:$A$200,$A53,'İCRA DOSYALARI'!$N$2:$N$200))</f>
        <v/>
      </c>
      <c r="E53" s="11">
        <f>IF($A53="","",SUMIF('İCRA DOSYALARI'!$A$2:$A$200,$A53,'İCRA DOSYALARI'!$O$2:$O$200))</f>
        <v/>
      </c>
      <c r="F53" s="8">
        <f>IF($A53="","",IFERROR(INDEX('İCRA DOSYALARI'!$D$2:$D$200,MATCH($A53&amp;"|ÖDEMEDE",'İCRA DOSYALARI'!$S$2:$S$200,0)),"-"))</f>
        <v/>
      </c>
      <c r="G53" s="11">
        <f>IF($A53="","",IFERROR(INDEX('İCRA DOSYALARI'!$O$2:$O$200,MATCH($A53&amp;"|ÖDEMEDE",'İCRA DOSYALARI'!$S$2:$S$200,0)),"-"))</f>
        <v/>
      </c>
    </row>
    <row r="54">
      <c r="A54" s="8" t="n"/>
      <c r="B54" s="8">
        <f>IF($A54="","",COUNTIF('İCRA DOSYALARI'!$A$2:$A$200,$A54))</f>
        <v/>
      </c>
      <c r="C54" s="11">
        <f>IF($A54="","",SUMIF('İCRA DOSYALARI'!$A$2:$A$200,$A54,'İCRA DOSYALARI'!$H$2:$H$200))</f>
        <v/>
      </c>
      <c r="D54" s="11">
        <f>IF($A54="","",SUMIF('İCRA DOSYALARI'!$A$2:$A$200,$A54,'İCRA DOSYALARI'!$N$2:$N$200))</f>
        <v/>
      </c>
      <c r="E54" s="11">
        <f>IF($A54="","",SUMIF('İCRA DOSYALARI'!$A$2:$A$200,$A54,'İCRA DOSYALARI'!$O$2:$O$200))</f>
        <v/>
      </c>
      <c r="F54" s="8">
        <f>IF($A54="","",IFERROR(INDEX('İCRA DOSYALARI'!$D$2:$D$200,MATCH($A54&amp;"|ÖDEMEDE",'İCRA DOSYALARI'!$S$2:$S$200,0)),"-"))</f>
        <v/>
      </c>
      <c r="G54" s="11">
        <f>IF($A54="","",IFERROR(INDEX('İCRA DOSYALARI'!$O$2:$O$200,MATCH($A54&amp;"|ÖDEMEDE",'İCRA DOSYALARI'!$S$2:$S$200,0)),"-"))</f>
        <v/>
      </c>
    </row>
    <row r="55">
      <c r="A55" s="8" t="n"/>
      <c r="B55" s="8">
        <f>IF($A55="","",COUNTIF('İCRA DOSYALARI'!$A$2:$A$200,$A55))</f>
        <v/>
      </c>
      <c r="C55" s="11">
        <f>IF($A55="","",SUMIF('İCRA DOSYALARI'!$A$2:$A$200,$A55,'İCRA DOSYALARI'!$H$2:$H$200))</f>
        <v/>
      </c>
      <c r="D55" s="11">
        <f>IF($A55="","",SUMIF('İCRA DOSYALARI'!$A$2:$A$200,$A55,'İCRA DOSYALARI'!$N$2:$N$200))</f>
        <v/>
      </c>
      <c r="E55" s="11">
        <f>IF($A55="","",SUMIF('İCRA DOSYALARI'!$A$2:$A$200,$A55,'İCRA DOSYALARI'!$O$2:$O$200))</f>
        <v/>
      </c>
      <c r="F55" s="8">
        <f>IF($A55="","",IFERROR(INDEX('İCRA DOSYALARI'!$D$2:$D$200,MATCH($A55&amp;"|ÖDEMEDE",'İCRA DOSYALARI'!$S$2:$S$200,0)),"-"))</f>
        <v/>
      </c>
      <c r="G55" s="11">
        <f>IF($A55="","",IFERROR(INDEX('İCRA DOSYALARI'!$O$2:$O$200,MATCH($A55&amp;"|ÖDEMEDE",'İCRA DOSYALARI'!$S$2:$S$200,0)),"-"))</f>
        <v/>
      </c>
    </row>
    <row r="56">
      <c r="A56" s="8" t="n"/>
      <c r="B56" s="8">
        <f>IF($A56="","",COUNTIF('İCRA DOSYALARI'!$A$2:$A$200,$A56))</f>
        <v/>
      </c>
      <c r="C56" s="11">
        <f>IF($A56="","",SUMIF('İCRA DOSYALARI'!$A$2:$A$200,$A56,'İCRA DOSYALARI'!$H$2:$H$200))</f>
        <v/>
      </c>
      <c r="D56" s="11">
        <f>IF($A56="","",SUMIF('İCRA DOSYALARI'!$A$2:$A$200,$A56,'İCRA DOSYALARI'!$N$2:$N$200))</f>
        <v/>
      </c>
      <c r="E56" s="11">
        <f>IF($A56="","",SUMIF('İCRA DOSYALARI'!$A$2:$A$200,$A56,'İCRA DOSYALARI'!$O$2:$O$200))</f>
        <v/>
      </c>
      <c r="F56" s="8">
        <f>IF($A56="","",IFERROR(INDEX('İCRA DOSYALARI'!$D$2:$D$200,MATCH($A56&amp;"|ÖDEMEDE",'İCRA DOSYALARI'!$S$2:$S$200,0)),"-"))</f>
        <v/>
      </c>
      <c r="G56" s="11">
        <f>IF($A56="","",IFERROR(INDEX('İCRA DOSYALARI'!$O$2:$O$200,MATCH($A56&amp;"|ÖDEMEDE",'İCRA DOSYALARI'!$S$2:$S$200,0)),"-"))</f>
        <v/>
      </c>
    </row>
    <row r="57">
      <c r="A57" s="8" t="n"/>
      <c r="B57" s="8">
        <f>IF($A57="","",COUNTIF('İCRA DOSYALARI'!$A$2:$A$200,$A57))</f>
        <v/>
      </c>
      <c r="C57" s="11">
        <f>IF($A57="","",SUMIF('İCRA DOSYALARI'!$A$2:$A$200,$A57,'İCRA DOSYALARI'!$H$2:$H$200))</f>
        <v/>
      </c>
      <c r="D57" s="11">
        <f>IF($A57="","",SUMIF('İCRA DOSYALARI'!$A$2:$A$200,$A57,'İCRA DOSYALARI'!$N$2:$N$200))</f>
        <v/>
      </c>
      <c r="E57" s="11">
        <f>IF($A57="","",SUMIF('İCRA DOSYALARI'!$A$2:$A$200,$A57,'İCRA DOSYALARI'!$O$2:$O$200))</f>
        <v/>
      </c>
      <c r="F57" s="8">
        <f>IF($A57="","",IFERROR(INDEX('İCRA DOSYALARI'!$D$2:$D$200,MATCH($A57&amp;"|ÖDEMEDE",'İCRA DOSYALARI'!$S$2:$S$200,0)),"-"))</f>
        <v/>
      </c>
      <c r="G57" s="11">
        <f>IF($A57="","",IFERROR(INDEX('İCRA DOSYALARI'!$O$2:$O$200,MATCH($A57&amp;"|ÖDEMEDE",'İCRA DOSYALARI'!$S$2:$S$200,0)),"-"))</f>
        <v/>
      </c>
    </row>
    <row r="58">
      <c r="A58" s="8" t="n"/>
      <c r="B58" s="8">
        <f>IF($A58="","",COUNTIF('İCRA DOSYALARI'!$A$2:$A$200,$A58))</f>
        <v/>
      </c>
      <c r="C58" s="11">
        <f>IF($A58="","",SUMIF('İCRA DOSYALARI'!$A$2:$A$200,$A58,'İCRA DOSYALARI'!$H$2:$H$200))</f>
        <v/>
      </c>
      <c r="D58" s="11">
        <f>IF($A58="","",SUMIF('İCRA DOSYALARI'!$A$2:$A$200,$A58,'İCRA DOSYALARI'!$N$2:$N$200))</f>
        <v/>
      </c>
      <c r="E58" s="11">
        <f>IF($A58="","",SUMIF('İCRA DOSYALARI'!$A$2:$A$200,$A58,'İCRA DOSYALARI'!$O$2:$O$200))</f>
        <v/>
      </c>
      <c r="F58" s="8">
        <f>IF($A58="","",IFERROR(INDEX('İCRA DOSYALARI'!$D$2:$D$200,MATCH($A58&amp;"|ÖDEMEDE",'İCRA DOSYALARI'!$S$2:$S$200,0)),"-"))</f>
        <v/>
      </c>
      <c r="G58" s="11">
        <f>IF($A58="","",IFERROR(INDEX('İCRA DOSYALARI'!$O$2:$O$200,MATCH($A58&amp;"|ÖDEMEDE",'İCRA DOSYALARI'!$S$2:$S$200,0)),"-"))</f>
        <v/>
      </c>
    </row>
    <row r="59">
      <c r="A59" s="8" t="n"/>
      <c r="B59" s="8">
        <f>IF($A59="","",COUNTIF('İCRA DOSYALARI'!$A$2:$A$200,$A59))</f>
        <v/>
      </c>
      <c r="C59" s="11">
        <f>IF($A59="","",SUMIF('İCRA DOSYALARI'!$A$2:$A$200,$A59,'İCRA DOSYALARI'!$H$2:$H$200))</f>
        <v/>
      </c>
      <c r="D59" s="11">
        <f>IF($A59="","",SUMIF('İCRA DOSYALARI'!$A$2:$A$200,$A59,'İCRA DOSYALARI'!$N$2:$N$200))</f>
        <v/>
      </c>
      <c r="E59" s="11">
        <f>IF($A59="","",SUMIF('İCRA DOSYALARI'!$A$2:$A$200,$A59,'İCRA DOSYALARI'!$O$2:$O$200))</f>
        <v/>
      </c>
      <c r="F59" s="8">
        <f>IF($A59="","",IFERROR(INDEX('İCRA DOSYALARI'!$D$2:$D$200,MATCH($A59&amp;"|ÖDEMEDE",'İCRA DOSYALARI'!$S$2:$S$200,0)),"-"))</f>
        <v/>
      </c>
      <c r="G59" s="11">
        <f>IF($A59="","",IFERROR(INDEX('İCRA DOSYALARI'!$O$2:$O$200,MATCH($A59&amp;"|ÖDEMEDE",'İCRA DOSYALARI'!$S$2:$S$200,0)),"-"))</f>
        <v/>
      </c>
    </row>
    <row r="60">
      <c r="A60" s="8" t="n"/>
      <c r="B60" s="8">
        <f>IF($A60="","",COUNTIF('İCRA DOSYALARI'!$A$2:$A$200,$A60))</f>
        <v/>
      </c>
      <c r="C60" s="11">
        <f>IF($A60="","",SUMIF('İCRA DOSYALARI'!$A$2:$A$200,$A60,'İCRA DOSYALARI'!$H$2:$H$200))</f>
        <v/>
      </c>
      <c r="D60" s="11">
        <f>IF($A60="","",SUMIF('İCRA DOSYALARI'!$A$2:$A$200,$A60,'İCRA DOSYALARI'!$N$2:$N$200))</f>
        <v/>
      </c>
      <c r="E60" s="11">
        <f>IF($A60="","",SUMIF('İCRA DOSYALARI'!$A$2:$A$200,$A60,'İCRA DOSYALARI'!$O$2:$O$200))</f>
        <v/>
      </c>
      <c r="F60" s="8">
        <f>IF($A60="","",IFERROR(INDEX('İCRA DOSYALARI'!$D$2:$D$200,MATCH($A60&amp;"|ÖDEMEDE",'İCRA DOSYALARI'!$S$2:$S$200,0)),"-"))</f>
        <v/>
      </c>
      <c r="G60" s="11">
        <f>IF($A60="","",IFERROR(INDEX('İCRA DOSYALARI'!$O$2:$O$200,MATCH($A60&amp;"|ÖDEMEDE",'İCRA DOSYALARI'!$S$2:$S$200,0)),"-"))</f>
        <v/>
      </c>
    </row>
    <row r="61">
      <c r="A61" s="8" t="n"/>
      <c r="B61" s="8">
        <f>IF($A61="","",COUNTIF('İCRA DOSYALARI'!$A$2:$A$200,$A61))</f>
        <v/>
      </c>
      <c r="C61" s="11">
        <f>IF($A61="","",SUMIF('İCRA DOSYALARI'!$A$2:$A$200,$A61,'İCRA DOSYALARI'!$H$2:$H$200))</f>
        <v/>
      </c>
      <c r="D61" s="11">
        <f>IF($A61="","",SUMIF('İCRA DOSYALARI'!$A$2:$A$200,$A61,'İCRA DOSYALARI'!$N$2:$N$200))</f>
        <v/>
      </c>
      <c r="E61" s="11">
        <f>IF($A61="","",SUMIF('İCRA DOSYALARI'!$A$2:$A$200,$A61,'İCRA DOSYALARI'!$O$2:$O$200))</f>
        <v/>
      </c>
      <c r="F61" s="8">
        <f>IF($A61="","",IFERROR(INDEX('İCRA DOSYALARI'!$D$2:$D$200,MATCH($A61&amp;"|ÖDEMEDE",'İCRA DOSYALARI'!$S$2:$S$200,0)),"-"))</f>
        <v/>
      </c>
      <c r="G61" s="11">
        <f>IF($A61="","",IFERROR(INDEX('İCRA DOSYALARI'!$O$2:$O$200,MATCH($A61&amp;"|ÖDEMEDE",'İCRA DOSYALARI'!$S$2:$S$200,0)),"-"))</f>
        <v/>
      </c>
    </row>
    <row r="62">
      <c r="A62" s="8" t="n"/>
      <c r="B62" s="8">
        <f>IF($A62="","",COUNTIF('İCRA DOSYALARI'!$A$2:$A$200,$A62))</f>
        <v/>
      </c>
      <c r="C62" s="11">
        <f>IF($A62="","",SUMIF('İCRA DOSYALARI'!$A$2:$A$200,$A62,'İCRA DOSYALARI'!$H$2:$H$200))</f>
        <v/>
      </c>
      <c r="D62" s="11">
        <f>IF($A62="","",SUMIF('İCRA DOSYALARI'!$A$2:$A$200,$A62,'İCRA DOSYALARI'!$N$2:$N$200))</f>
        <v/>
      </c>
      <c r="E62" s="11">
        <f>IF($A62="","",SUMIF('İCRA DOSYALARI'!$A$2:$A$200,$A62,'İCRA DOSYALARI'!$O$2:$O$200))</f>
        <v/>
      </c>
      <c r="F62" s="8">
        <f>IF($A62="","",IFERROR(INDEX('İCRA DOSYALARI'!$D$2:$D$200,MATCH($A62&amp;"|ÖDEMEDE",'İCRA DOSYALARI'!$S$2:$S$200,0)),"-"))</f>
        <v/>
      </c>
      <c r="G62" s="11">
        <f>IF($A62="","",IFERROR(INDEX('İCRA DOSYALARI'!$O$2:$O$200,MATCH($A62&amp;"|ÖDEMEDE",'İCRA DOSYALARI'!$S$2:$S$200,0)),"-"))</f>
        <v/>
      </c>
    </row>
    <row r="63">
      <c r="A63" s="8" t="n"/>
      <c r="B63" s="8">
        <f>IF($A63="","",COUNTIF('İCRA DOSYALARI'!$A$2:$A$200,$A63))</f>
        <v/>
      </c>
      <c r="C63" s="11">
        <f>IF($A63="","",SUMIF('İCRA DOSYALARI'!$A$2:$A$200,$A63,'İCRA DOSYALARI'!$H$2:$H$200))</f>
        <v/>
      </c>
      <c r="D63" s="11">
        <f>IF($A63="","",SUMIF('İCRA DOSYALARI'!$A$2:$A$200,$A63,'İCRA DOSYALARI'!$N$2:$N$200))</f>
        <v/>
      </c>
      <c r="E63" s="11">
        <f>IF($A63="","",SUMIF('İCRA DOSYALARI'!$A$2:$A$200,$A63,'İCRA DOSYALARI'!$O$2:$O$200))</f>
        <v/>
      </c>
      <c r="F63" s="8">
        <f>IF($A63="","",IFERROR(INDEX('İCRA DOSYALARI'!$D$2:$D$200,MATCH($A63&amp;"|ÖDEMEDE",'İCRA DOSYALARI'!$S$2:$S$200,0)),"-"))</f>
        <v/>
      </c>
      <c r="G63" s="11">
        <f>IF($A63="","",IFERROR(INDEX('İCRA DOSYALARI'!$O$2:$O$200,MATCH($A63&amp;"|ÖDEMEDE",'İCRA DOSYALARI'!$S$2:$S$200,0)),"-"))</f>
        <v/>
      </c>
    </row>
    <row r="64">
      <c r="A64" s="8" t="n"/>
      <c r="B64" s="8">
        <f>IF($A64="","",COUNTIF('İCRA DOSYALARI'!$A$2:$A$200,$A64))</f>
        <v/>
      </c>
      <c r="C64" s="11">
        <f>IF($A64="","",SUMIF('İCRA DOSYALARI'!$A$2:$A$200,$A64,'İCRA DOSYALARI'!$H$2:$H$200))</f>
        <v/>
      </c>
      <c r="D64" s="11">
        <f>IF($A64="","",SUMIF('İCRA DOSYALARI'!$A$2:$A$200,$A64,'İCRA DOSYALARI'!$N$2:$N$200))</f>
        <v/>
      </c>
      <c r="E64" s="11">
        <f>IF($A64="","",SUMIF('İCRA DOSYALARI'!$A$2:$A$200,$A64,'İCRA DOSYALARI'!$O$2:$O$200))</f>
        <v/>
      </c>
      <c r="F64" s="8">
        <f>IF($A64="","",IFERROR(INDEX('İCRA DOSYALARI'!$D$2:$D$200,MATCH($A64&amp;"|ÖDEMEDE",'İCRA DOSYALARI'!$S$2:$S$200,0)),"-"))</f>
        <v/>
      </c>
      <c r="G64" s="11">
        <f>IF($A64="","",IFERROR(INDEX('İCRA DOSYALARI'!$O$2:$O$200,MATCH($A64&amp;"|ÖDEMEDE",'İCRA DOSYALARI'!$S$2:$S$200,0)),"-"))</f>
        <v/>
      </c>
    </row>
    <row r="65">
      <c r="A65" s="8" t="n"/>
      <c r="B65" s="8">
        <f>IF($A65="","",COUNTIF('İCRA DOSYALARI'!$A$2:$A$200,$A65))</f>
        <v/>
      </c>
      <c r="C65" s="11">
        <f>IF($A65="","",SUMIF('İCRA DOSYALARI'!$A$2:$A$200,$A65,'İCRA DOSYALARI'!$H$2:$H$200))</f>
        <v/>
      </c>
      <c r="D65" s="11">
        <f>IF($A65="","",SUMIF('İCRA DOSYALARI'!$A$2:$A$200,$A65,'İCRA DOSYALARI'!$N$2:$N$200))</f>
        <v/>
      </c>
      <c r="E65" s="11">
        <f>IF($A65="","",SUMIF('İCRA DOSYALARI'!$A$2:$A$200,$A65,'İCRA DOSYALARI'!$O$2:$O$200))</f>
        <v/>
      </c>
      <c r="F65" s="8">
        <f>IF($A65="","",IFERROR(INDEX('İCRA DOSYALARI'!$D$2:$D$200,MATCH($A65&amp;"|ÖDEMEDE",'İCRA DOSYALARI'!$S$2:$S$200,0)),"-"))</f>
        <v/>
      </c>
      <c r="G65" s="11">
        <f>IF($A65="","",IFERROR(INDEX('İCRA DOSYALARI'!$O$2:$O$200,MATCH($A65&amp;"|ÖDEMEDE",'İCRA DOSYALARI'!$S$2:$S$200,0)),"-"))</f>
        <v/>
      </c>
    </row>
    <row r="66">
      <c r="A66" s="8" t="n"/>
      <c r="B66" s="8">
        <f>IF($A66="","",COUNTIF('İCRA DOSYALARI'!$A$2:$A$200,$A66))</f>
        <v/>
      </c>
      <c r="C66" s="11">
        <f>IF($A66="","",SUMIF('İCRA DOSYALARI'!$A$2:$A$200,$A66,'İCRA DOSYALARI'!$H$2:$H$200))</f>
        <v/>
      </c>
      <c r="D66" s="11">
        <f>IF($A66="","",SUMIF('İCRA DOSYALARI'!$A$2:$A$200,$A66,'İCRA DOSYALARI'!$N$2:$N$200))</f>
        <v/>
      </c>
      <c r="E66" s="11">
        <f>IF($A66="","",SUMIF('İCRA DOSYALARI'!$A$2:$A$200,$A66,'İCRA DOSYALARI'!$O$2:$O$200))</f>
        <v/>
      </c>
      <c r="F66" s="8">
        <f>IF($A66="","",IFERROR(INDEX('İCRA DOSYALARI'!$D$2:$D$200,MATCH($A66&amp;"|ÖDEMEDE",'İCRA DOSYALARI'!$S$2:$S$200,0)),"-"))</f>
        <v/>
      </c>
      <c r="G66" s="11">
        <f>IF($A66="","",IFERROR(INDEX('İCRA DOSYALARI'!$O$2:$O$200,MATCH($A66&amp;"|ÖDEMEDE",'İCRA DOSYALARI'!$S$2:$S$200,0)),"-"))</f>
        <v/>
      </c>
    </row>
    <row r="67">
      <c r="A67" s="8" t="n"/>
      <c r="B67" s="8">
        <f>IF($A67="","",COUNTIF('İCRA DOSYALARI'!$A$2:$A$200,$A67))</f>
        <v/>
      </c>
      <c r="C67" s="11">
        <f>IF($A67="","",SUMIF('İCRA DOSYALARI'!$A$2:$A$200,$A67,'İCRA DOSYALARI'!$H$2:$H$200))</f>
        <v/>
      </c>
      <c r="D67" s="11">
        <f>IF($A67="","",SUMIF('İCRA DOSYALARI'!$A$2:$A$200,$A67,'İCRA DOSYALARI'!$N$2:$N$200))</f>
        <v/>
      </c>
      <c r="E67" s="11">
        <f>IF($A67="","",SUMIF('İCRA DOSYALARI'!$A$2:$A$200,$A67,'İCRA DOSYALARI'!$O$2:$O$200))</f>
        <v/>
      </c>
      <c r="F67" s="8">
        <f>IF($A67="","",IFERROR(INDEX('İCRA DOSYALARI'!$D$2:$D$200,MATCH($A67&amp;"|ÖDEMEDE",'İCRA DOSYALARI'!$S$2:$S$200,0)),"-"))</f>
        <v/>
      </c>
      <c r="G67" s="11">
        <f>IF($A67="","",IFERROR(INDEX('İCRA DOSYALARI'!$O$2:$O$200,MATCH($A67&amp;"|ÖDEMEDE",'İCRA DOSYALARI'!$S$2:$S$200,0)),"-"))</f>
        <v/>
      </c>
    </row>
    <row r="68">
      <c r="A68" s="8" t="n"/>
      <c r="B68" s="8">
        <f>IF($A68="","",COUNTIF('İCRA DOSYALARI'!$A$2:$A$200,$A68))</f>
        <v/>
      </c>
      <c r="C68" s="11">
        <f>IF($A68="","",SUMIF('İCRA DOSYALARI'!$A$2:$A$200,$A68,'İCRA DOSYALARI'!$H$2:$H$200))</f>
        <v/>
      </c>
      <c r="D68" s="11">
        <f>IF($A68="","",SUMIF('İCRA DOSYALARI'!$A$2:$A$200,$A68,'İCRA DOSYALARI'!$N$2:$N$200))</f>
        <v/>
      </c>
      <c r="E68" s="11">
        <f>IF($A68="","",SUMIF('İCRA DOSYALARI'!$A$2:$A$200,$A68,'İCRA DOSYALARI'!$O$2:$O$200))</f>
        <v/>
      </c>
      <c r="F68" s="8">
        <f>IF($A68="","",IFERROR(INDEX('İCRA DOSYALARI'!$D$2:$D$200,MATCH($A68&amp;"|ÖDEMEDE",'İCRA DOSYALARI'!$S$2:$S$200,0)),"-"))</f>
        <v/>
      </c>
      <c r="G68" s="11">
        <f>IF($A68="","",IFERROR(INDEX('İCRA DOSYALARI'!$O$2:$O$200,MATCH($A68&amp;"|ÖDEMEDE",'İCRA DOSYALARI'!$S$2:$S$200,0)),"-"))</f>
        <v/>
      </c>
    </row>
    <row r="69">
      <c r="A69" s="8" t="n"/>
      <c r="B69" s="8">
        <f>IF($A69="","",COUNTIF('İCRA DOSYALARI'!$A$2:$A$200,$A69))</f>
        <v/>
      </c>
      <c r="C69" s="11">
        <f>IF($A69="","",SUMIF('İCRA DOSYALARI'!$A$2:$A$200,$A69,'İCRA DOSYALARI'!$H$2:$H$200))</f>
        <v/>
      </c>
      <c r="D69" s="11">
        <f>IF($A69="","",SUMIF('İCRA DOSYALARI'!$A$2:$A$200,$A69,'İCRA DOSYALARI'!$N$2:$N$200))</f>
        <v/>
      </c>
      <c r="E69" s="11">
        <f>IF($A69="","",SUMIF('İCRA DOSYALARI'!$A$2:$A$200,$A69,'İCRA DOSYALARI'!$O$2:$O$200))</f>
        <v/>
      </c>
      <c r="F69" s="8">
        <f>IF($A69="","",IFERROR(INDEX('İCRA DOSYALARI'!$D$2:$D$200,MATCH($A69&amp;"|ÖDEMEDE",'İCRA DOSYALARI'!$S$2:$S$200,0)),"-"))</f>
        <v/>
      </c>
      <c r="G69" s="11">
        <f>IF($A69="","",IFERROR(INDEX('İCRA DOSYALARI'!$O$2:$O$200,MATCH($A69&amp;"|ÖDEMEDE",'İCRA DOSYALARI'!$S$2:$S$200,0)),"-"))</f>
        <v/>
      </c>
    </row>
    <row r="70">
      <c r="A70" s="8" t="n"/>
      <c r="B70" s="8">
        <f>IF($A70="","",COUNTIF('İCRA DOSYALARI'!$A$2:$A$200,$A70))</f>
        <v/>
      </c>
      <c r="C70" s="11">
        <f>IF($A70="","",SUMIF('İCRA DOSYALARI'!$A$2:$A$200,$A70,'İCRA DOSYALARI'!$H$2:$H$200))</f>
        <v/>
      </c>
      <c r="D70" s="11">
        <f>IF($A70="","",SUMIF('İCRA DOSYALARI'!$A$2:$A$200,$A70,'İCRA DOSYALARI'!$N$2:$N$200))</f>
        <v/>
      </c>
      <c r="E70" s="11">
        <f>IF($A70="","",SUMIF('İCRA DOSYALARI'!$A$2:$A$200,$A70,'İCRA DOSYALARI'!$O$2:$O$200))</f>
        <v/>
      </c>
      <c r="F70" s="8">
        <f>IF($A70="","",IFERROR(INDEX('İCRA DOSYALARI'!$D$2:$D$200,MATCH($A70&amp;"|ÖDEMEDE",'İCRA DOSYALARI'!$S$2:$S$200,0)),"-"))</f>
        <v/>
      </c>
      <c r="G70" s="11">
        <f>IF($A70="","",IFERROR(INDEX('İCRA DOSYALARI'!$O$2:$O$200,MATCH($A70&amp;"|ÖDEMEDE",'İCRA DOSYALARI'!$S$2:$S$200,0)),"-"))</f>
        <v/>
      </c>
    </row>
    <row r="71">
      <c r="A71" s="8" t="n"/>
      <c r="B71" s="8">
        <f>IF($A71="","",COUNTIF('İCRA DOSYALARI'!$A$2:$A$200,$A71))</f>
        <v/>
      </c>
      <c r="C71" s="11">
        <f>IF($A71="","",SUMIF('İCRA DOSYALARI'!$A$2:$A$200,$A71,'İCRA DOSYALARI'!$H$2:$H$200))</f>
        <v/>
      </c>
      <c r="D71" s="11">
        <f>IF($A71="","",SUMIF('İCRA DOSYALARI'!$A$2:$A$200,$A71,'İCRA DOSYALARI'!$N$2:$N$200))</f>
        <v/>
      </c>
      <c r="E71" s="11">
        <f>IF($A71="","",SUMIF('İCRA DOSYALARI'!$A$2:$A$200,$A71,'İCRA DOSYALARI'!$O$2:$O$200))</f>
        <v/>
      </c>
      <c r="F71" s="8">
        <f>IF($A71="","",IFERROR(INDEX('İCRA DOSYALARI'!$D$2:$D$200,MATCH($A71&amp;"|ÖDEMEDE",'İCRA DOSYALARI'!$S$2:$S$200,0)),"-"))</f>
        <v/>
      </c>
      <c r="G71" s="11">
        <f>IF($A71="","",IFERROR(INDEX('İCRA DOSYALARI'!$O$2:$O$200,MATCH($A71&amp;"|ÖDEMEDE",'İCRA DOSYALARI'!$S$2:$S$200,0)),"-"))</f>
        <v/>
      </c>
    </row>
    <row r="72">
      <c r="A72" s="8" t="n"/>
      <c r="B72" s="8">
        <f>IF($A72="","",COUNTIF('İCRA DOSYALARI'!$A$2:$A$200,$A72))</f>
        <v/>
      </c>
      <c r="C72" s="11">
        <f>IF($A72="","",SUMIF('İCRA DOSYALARI'!$A$2:$A$200,$A72,'İCRA DOSYALARI'!$H$2:$H$200))</f>
        <v/>
      </c>
      <c r="D72" s="11">
        <f>IF($A72="","",SUMIF('İCRA DOSYALARI'!$A$2:$A$200,$A72,'İCRA DOSYALARI'!$N$2:$N$200))</f>
        <v/>
      </c>
      <c r="E72" s="11">
        <f>IF($A72="","",SUMIF('İCRA DOSYALARI'!$A$2:$A$200,$A72,'İCRA DOSYALARI'!$O$2:$O$200))</f>
        <v/>
      </c>
      <c r="F72" s="8">
        <f>IF($A72="","",IFERROR(INDEX('İCRA DOSYALARI'!$D$2:$D$200,MATCH($A72&amp;"|ÖDEMEDE",'İCRA DOSYALARI'!$S$2:$S$200,0)),"-"))</f>
        <v/>
      </c>
      <c r="G72" s="11">
        <f>IF($A72="","",IFERROR(INDEX('İCRA DOSYALARI'!$O$2:$O$200,MATCH($A72&amp;"|ÖDEMEDE",'İCRA DOSYALARI'!$S$2:$S$200,0)),"-"))</f>
        <v/>
      </c>
    </row>
    <row r="73">
      <c r="A73" s="8" t="n"/>
      <c r="B73" s="8">
        <f>IF($A73="","",COUNTIF('İCRA DOSYALARI'!$A$2:$A$200,$A73))</f>
        <v/>
      </c>
      <c r="C73" s="11">
        <f>IF($A73="","",SUMIF('İCRA DOSYALARI'!$A$2:$A$200,$A73,'İCRA DOSYALARI'!$H$2:$H$200))</f>
        <v/>
      </c>
      <c r="D73" s="11">
        <f>IF($A73="","",SUMIF('İCRA DOSYALARI'!$A$2:$A$200,$A73,'İCRA DOSYALARI'!$N$2:$N$200))</f>
        <v/>
      </c>
      <c r="E73" s="11">
        <f>IF($A73="","",SUMIF('İCRA DOSYALARI'!$A$2:$A$200,$A73,'İCRA DOSYALARI'!$O$2:$O$200))</f>
        <v/>
      </c>
      <c r="F73" s="8">
        <f>IF($A73="","",IFERROR(INDEX('İCRA DOSYALARI'!$D$2:$D$200,MATCH($A73&amp;"|ÖDEMEDE",'İCRA DOSYALARI'!$S$2:$S$200,0)),"-"))</f>
        <v/>
      </c>
      <c r="G73" s="11">
        <f>IF($A73="","",IFERROR(INDEX('İCRA DOSYALARI'!$O$2:$O$200,MATCH($A73&amp;"|ÖDEMEDE",'İCRA DOSYALARI'!$S$2:$S$200,0)),"-"))</f>
        <v/>
      </c>
    </row>
    <row r="74">
      <c r="A74" s="8" t="n"/>
      <c r="B74" s="8">
        <f>IF($A74="","",COUNTIF('İCRA DOSYALARI'!$A$2:$A$200,$A74))</f>
        <v/>
      </c>
      <c r="C74" s="11">
        <f>IF($A74="","",SUMIF('İCRA DOSYALARI'!$A$2:$A$200,$A74,'İCRA DOSYALARI'!$H$2:$H$200))</f>
        <v/>
      </c>
      <c r="D74" s="11">
        <f>IF($A74="","",SUMIF('İCRA DOSYALARI'!$A$2:$A$200,$A74,'İCRA DOSYALARI'!$N$2:$N$200))</f>
        <v/>
      </c>
      <c r="E74" s="11">
        <f>IF($A74="","",SUMIF('İCRA DOSYALARI'!$A$2:$A$200,$A74,'İCRA DOSYALARI'!$O$2:$O$200))</f>
        <v/>
      </c>
      <c r="F74" s="8">
        <f>IF($A74="","",IFERROR(INDEX('İCRA DOSYALARI'!$D$2:$D$200,MATCH($A74&amp;"|ÖDEMEDE",'İCRA DOSYALARI'!$S$2:$S$200,0)),"-"))</f>
        <v/>
      </c>
      <c r="G74" s="11">
        <f>IF($A74="","",IFERROR(INDEX('İCRA DOSYALARI'!$O$2:$O$200,MATCH($A74&amp;"|ÖDEMEDE",'İCRA DOSYALARI'!$S$2:$S$200,0)),"-"))</f>
        <v/>
      </c>
    </row>
    <row r="75">
      <c r="A75" s="8" t="n"/>
      <c r="B75" s="8">
        <f>IF($A75="","",COUNTIF('İCRA DOSYALARI'!$A$2:$A$200,$A75))</f>
        <v/>
      </c>
      <c r="C75" s="11">
        <f>IF($A75="","",SUMIF('İCRA DOSYALARI'!$A$2:$A$200,$A75,'İCRA DOSYALARI'!$H$2:$H$200))</f>
        <v/>
      </c>
      <c r="D75" s="11">
        <f>IF($A75="","",SUMIF('İCRA DOSYALARI'!$A$2:$A$200,$A75,'İCRA DOSYALARI'!$N$2:$N$200))</f>
        <v/>
      </c>
      <c r="E75" s="11">
        <f>IF($A75="","",SUMIF('İCRA DOSYALARI'!$A$2:$A$200,$A75,'İCRA DOSYALARI'!$O$2:$O$200))</f>
        <v/>
      </c>
      <c r="F75" s="8">
        <f>IF($A75="","",IFERROR(INDEX('İCRA DOSYALARI'!$D$2:$D$200,MATCH($A75&amp;"|ÖDEMEDE",'İCRA DOSYALARI'!$S$2:$S$200,0)),"-"))</f>
        <v/>
      </c>
      <c r="G75" s="11">
        <f>IF($A75="","",IFERROR(INDEX('İCRA DOSYALARI'!$O$2:$O$200,MATCH($A75&amp;"|ÖDEMEDE",'İCRA DOSYALARI'!$S$2:$S$200,0)),"-"))</f>
        <v/>
      </c>
    </row>
    <row r="76">
      <c r="A76" s="8" t="n"/>
      <c r="B76" s="8">
        <f>IF($A76="","",COUNTIF('İCRA DOSYALARI'!$A$2:$A$200,$A76))</f>
        <v/>
      </c>
      <c r="C76" s="11">
        <f>IF($A76="","",SUMIF('İCRA DOSYALARI'!$A$2:$A$200,$A76,'İCRA DOSYALARI'!$H$2:$H$200))</f>
        <v/>
      </c>
      <c r="D76" s="11">
        <f>IF($A76="","",SUMIF('İCRA DOSYALARI'!$A$2:$A$200,$A76,'İCRA DOSYALARI'!$N$2:$N$200))</f>
        <v/>
      </c>
      <c r="E76" s="11">
        <f>IF($A76="","",SUMIF('İCRA DOSYALARI'!$A$2:$A$200,$A76,'İCRA DOSYALARI'!$O$2:$O$200))</f>
        <v/>
      </c>
      <c r="F76" s="8">
        <f>IF($A76="","",IFERROR(INDEX('İCRA DOSYALARI'!$D$2:$D$200,MATCH($A76&amp;"|ÖDEMEDE",'İCRA DOSYALARI'!$S$2:$S$200,0)),"-"))</f>
        <v/>
      </c>
      <c r="G76" s="11">
        <f>IF($A76="","",IFERROR(INDEX('İCRA DOSYALARI'!$O$2:$O$200,MATCH($A76&amp;"|ÖDEMEDE",'İCRA DOSYALARI'!$S$2:$S$200,0)),"-"))</f>
        <v/>
      </c>
    </row>
    <row r="77">
      <c r="A77" s="8" t="n"/>
      <c r="B77" s="8">
        <f>IF($A77="","",COUNTIF('İCRA DOSYALARI'!$A$2:$A$200,$A77))</f>
        <v/>
      </c>
      <c r="C77" s="11">
        <f>IF($A77="","",SUMIF('İCRA DOSYALARI'!$A$2:$A$200,$A77,'İCRA DOSYALARI'!$H$2:$H$200))</f>
        <v/>
      </c>
      <c r="D77" s="11">
        <f>IF($A77="","",SUMIF('İCRA DOSYALARI'!$A$2:$A$200,$A77,'İCRA DOSYALARI'!$N$2:$N$200))</f>
        <v/>
      </c>
      <c r="E77" s="11">
        <f>IF($A77="","",SUMIF('İCRA DOSYALARI'!$A$2:$A$200,$A77,'İCRA DOSYALARI'!$O$2:$O$200))</f>
        <v/>
      </c>
      <c r="F77" s="8">
        <f>IF($A77="","",IFERROR(INDEX('İCRA DOSYALARI'!$D$2:$D$200,MATCH($A77&amp;"|ÖDEMEDE",'İCRA DOSYALARI'!$S$2:$S$200,0)),"-"))</f>
        <v/>
      </c>
      <c r="G77" s="11">
        <f>IF($A77="","",IFERROR(INDEX('İCRA DOSYALARI'!$O$2:$O$200,MATCH($A77&amp;"|ÖDEMEDE",'İCRA DOSYALARI'!$S$2:$S$200,0)),"-"))</f>
        <v/>
      </c>
    </row>
    <row r="78">
      <c r="A78" s="8" t="n"/>
      <c r="B78" s="8">
        <f>IF($A78="","",COUNTIF('İCRA DOSYALARI'!$A$2:$A$200,$A78))</f>
        <v/>
      </c>
      <c r="C78" s="11">
        <f>IF($A78="","",SUMIF('İCRA DOSYALARI'!$A$2:$A$200,$A78,'İCRA DOSYALARI'!$H$2:$H$200))</f>
        <v/>
      </c>
      <c r="D78" s="11">
        <f>IF($A78="","",SUMIF('İCRA DOSYALARI'!$A$2:$A$200,$A78,'İCRA DOSYALARI'!$N$2:$N$200))</f>
        <v/>
      </c>
      <c r="E78" s="11">
        <f>IF($A78="","",SUMIF('İCRA DOSYALARI'!$A$2:$A$200,$A78,'İCRA DOSYALARI'!$O$2:$O$200))</f>
        <v/>
      </c>
      <c r="F78" s="8">
        <f>IF($A78="","",IFERROR(INDEX('İCRA DOSYALARI'!$D$2:$D$200,MATCH($A78&amp;"|ÖDEMEDE",'İCRA DOSYALARI'!$S$2:$S$200,0)),"-"))</f>
        <v/>
      </c>
      <c r="G78" s="11">
        <f>IF($A78="","",IFERROR(INDEX('İCRA DOSYALARI'!$O$2:$O$200,MATCH($A78&amp;"|ÖDEMEDE",'İCRA DOSYALARI'!$S$2:$S$200,0)),"-"))</f>
        <v/>
      </c>
    </row>
    <row r="79">
      <c r="A79" s="8" t="n"/>
      <c r="B79" s="8">
        <f>IF($A79="","",COUNTIF('İCRA DOSYALARI'!$A$2:$A$200,$A79))</f>
        <v/>
      </c>
      <c r="C79" s="11">
        <f>IF($A79="","",SUMIF('İCRA DOSYALARI'!$A$2:$A$200,$A79,'İCRA DOSYALARI'!$H$2:$H$200))</f>
        <v/>
      </c>
      <c r="D79" s="11">
        <f>IF($A79="","",SUMIF('İCRA DOSYALARI'!$A$2:$A$200,$A79,'İCRA DOSYALARI'!$N$2:$N$200))</f>
        <v/>
      </c>
      <c r="E79" s="11">
        <f>IF($A79="","",SUMIF('İCRA DOSYALARI'!$A$2:$A$200,$A79,'İCRA DOSYALARI'!$O$2:$O$200))</f>
        <v/>
      </c>
      <c r="F79" s="8">
        <f>IF($A79="","",IFERROR(INDEX('İCRA DOSYALARI'!$D$2:$D$200,MATCH($A79&amp;"|ÖDEMEDE",'İCRA DOSYALARI'!$S$2:$S$200,0)),"-"))</f>
        <v/>
      </c>
      <c r="G79" s="11">
        <f>IF($A79="","",IFERROR(INDEX('İCRA DOSYALARI'!$O$2:$O$200,MATCH($A79&amp;"|ÖDEMEDE",'İCRA DOSYALARI'!$S$2:$S$200,0)),"-"))</f>
        <v/>
      </c>
    </row>
    <row r="80">
      <c r="A80" s="8" t="n"/>
      <c r="B80" s="8">
        <f>IF($A80="","",COUNTIF('İCRA DOSYALARI'!$A$2:$A$200,$A80))</f>
        <v/>
      </c>
      <c r="C80" s="11">
        <f>IF($A80="","",SUMIF('İCRA DOSYALARI'!$A$2:$A$200,$A80,'İCRA DOSYALARI'!$H$2:$H$200))</f>
        <v/>
      </c>
      <c r="D80" s="11">
        <f>IF($A80="","",SUMIF('İCRA DOSYALARI'!$A$2:$A$200,$A80,'İCRA DOSYALARI'!$N$2:$N$200))</f>
        <v/>
      </c>
      <c r="E80" s="11">
        <f>IF($A80="","",SUMIF('İCRA DOSYALARI'!$A$2:$A$200,$A80,'İCRA DOSYALARI'!$O$2:$O$200))</f>
        <v/>
      </c>
      <c r="F80" s="8">
        <f>IF($A80="","",IFERROR(INDEX('İCRA DOSYALARI'!$D$2:$D$200,MATCH($A80&amp;"|ÖDEMEDE",'İCRA DOSYALARI'!$S$2:$S$200,0)),"-"))</f>
        <v/>
      </c>
      <c r="G80" s="11">
        <f>IF($A80="","",IFERROR(INDEX('İCRA DOSYALARI'!$O$2:$O$200,MATCH($A80&amp;"|ÖDEMEDE",'İCRA DOSYALARI'!$S$2:$S$200,0)),"-"))</f>
        <v/>
      </c>
    </row>
    <row r="81">
      <c r="A81" s="8" t="n"/>
      <c r="B81" s="8">
        <f>IF($A81="","",COUNTIF('İCRA DOSYALARI'!$A$2:$A$200,$A81))</f>
        <v/>
      </c>
      <c r="C81" s="11">
        <f>IF($A81="","",SUMIF('İCRA DOSYALARI'!$A$2:$A$200,$A81,'İCRA DOSYALARI'!$H$2:$H$200))</f>
        <v/>
      </c>
      <c r="D81" s="11">
        <f>IF($A81="","",SUMIF('İCRA DOSYALARI'!$A$2:$A$200,$A81,'İCRA DOSYALARI'!$N$2:$N$200))</f>
        <v/>
      </c>
      <c r="E81" s="11">
        <f>IF($A81="","",SUMIF('İCRA DOSYALARI'!$A$2:$A$200,$A81,'İCRA DOSYALARI'!$O$2:$O$200))</f>
        <v/>
      </c>
      <c r="F81" s="8">
        <f>IF($A81="","",IFERROR(INDEX('İCRA DOSYALARI'!$D$2:$D$200,MATCH($A81&amp;"|ÖDEMEDE",'İCRA DOSYALARI'!$S$2:$S$200,0)),"-"))</f>
        <v/>
      </c>
      <c r="G81" s="11">
        <f>IF($A81="","",IFERROR(INDEX('İCRA DOSYALARI'!$O$2:$O$200,MATCH($A81&amp;"|ÖDEMEDE",'İCRA DOSYALARI'!$S$2:$S$200,0)),"-"))</f>
        <v/>
      </c>
    </row>
    <row r="82">
      <c r="A82" s="8" t="n"/>
      <c r="B82" s="8">
        <f>IF($A82="","",COUNTIF('İCRA DOSYALARI'!$A$2:$A$200,$A82))</f>
        <v/>
      </c>
      <c r="C82" s="11">
        <f>IF($A82="","",SUMIF('İCRA DOSYALARI'!$A$2:$A$200,$A82,'İCRA DOSYALARI'!$H$2:$H$200))</f>
        <v/>
      </c>
      <c r="D82" s="11">
        <f>IF($A82="","",SUMIF('İCRA DOSYALARI'!$A$2:$A$200,$A82,'İCRA DOSYALARI'!$N$2:$N$200))</f>
        <v/>
      </c>
      <c r="E82" s="11">
        <f>IF($A82="","",SUMIF('İCRA DOSYALARI'!$A$2:$A$200,$A82,'İCRA DOSYALARI'!$O$2:$O$200))</f>
        <v/>
      </c>
      <c r="F82" s="8">
        <f>IF($A82="","",IFERROR(INDEX('İCRA DOSYALARI'!$D$2:$D$200,MATCH($A82&amp;"|ÖDEMEDE",'İCRA DOSYALARI'!$S$2:$S$200,0)),"-"))</f>
        <v/>
      </c>
      <c r="G82" s="11">
        <f>IF($A82="","",IFERROR(INDEX('İCRA DOSYALARI'!$O$2:$O$200,MATCH($A82&amp;"|ÖDEMEDE",'İCRA DOSYALARI'!$S$2:$S$200,0)),"-"))</f>
        <v/>
      </c>
    </row>
    <row r="83">
      <c r="A83" s="8" t="n"/>
      <c r="B83" s="8">
        <f>IF($A83="","",COUNTIF('İCRA DOSYALARI'!$A$2:$A$200,$A83))</f>
        <v/>
      </c>
      <c r="C83" s="11">
        <f>IF($A83="","",SUMIF('İCRA DOSYALARI'!$A$2:$A$200,$A83,'İCRA DOSYALARI'!$H$2:$H$200))</f>
        <v/>
      </c>
      <c r="D83" s="11">
        <f>IF($A83="","",SUMIF('İCRA DOSYALARI'!$A$2:$A$200,$A83,'İCRA DOSYALARI'!$N$2:$N$200))</f>
        <v/>
      </c>
      <c r="E83" s="11">
        <f>IF($A83="","",SUMIF('İCRA DOSYALARI'!$A$2:$A$200,$A83,'İCRA DOSYALARI'!$O$2:$O$200))</f>
        <v/>
      </c>
      <c r="F83" s="8">
        <f>IF($A83="","",IFERROR(INDEX('İCRA DOSYALARI'!$D$2:$D$200,MATCH($A83&amp;"|ÖDEMEDE",'İCRA DOSYALARI'!$S$2:$S$200,0)),"-"))</f>
        <v/>
      </c>
      <c r="G83" s="11">
        <f>IF($A83="","",IFERROR(INDEX('İCRA DOSYALARI'!$O$2:$O$200,MATCH($A83&amp;"|ÖDEMEDE",'İCRA DOSYALARI'!$S$2:$S$200,0)),"-"))</f>
        <v/>
      </c>
    </row>
    <row r="84">
      <c r="A84" s="8" t="n"/>
      <c r="B84" s="8">
        <f>IF($A84="","",COUNTIF('İCRA DOSYALARI'!$A$2:$A$200,$A84))</f>
        <v/>
      </c>
      <c r="C84" s="11">
        <f>IF($A84="","",SUMIF('İCRA DOSYALARI'!$A$2:$A$200,$A84,'İCRA DOSYALARI'!$H$2:$H$200))</f>
        <v/>
      </c>
      <c r="D84" s="11">
        <f>IF($A84="","",SUMIF('İCRA DOSYALARI'!$A$2:$A$200,$A84,'İCRA DOSYALARI'!$N$2:$N$200))</f>
        <v/>
      </c>
      <c r="E84" s="11">
        <f>IF($A84="","",SUMIF('İCRA DOSYALARI'!$A$2:$A$200,$A84,'İCRA DOSYALARI'!$O$2:$O$200))</f>
        <v/>
      </c>
      <c r="F84" s="8">
        <f>IF($A84="","",IFERROR(INDEX('İCRA DOSYALARI'!$D$2:$D$200,MATCH($A84&amp;"|ÖDEMEDE",'İCRA DOSYALARI'!$S$2:$S$200,0)),"-"))</f>
        <v/>
      </c>
      <c r="G84" s="11">
        <f>IF($A84="","",IFERROR(INDEX('İCRA DOSYALARI'!$O$2:$O$200,MATCH($A84&amp;"|ÖDEMEDE",'İCRA DOSYALARI'!$S$2:$S$200,0)),"-"))</f>
        <v/>
      </c>
    </row>
    <row r="85">
      <c r="A85" s="8" t="n"/>
      <c r="B85" s="8">
        <f>IF($A85="","",COUNTIF('İCRA DOSYALARI'!$A$2:$A$200,$A85))</f>
        <v/>
      </c>
      <c r="C85" s="11">
        <f>IF($A85="","",SUMIF('İCRA DOSYALARI'!$A$2:$A$200,$A85,'İCRA DOSYALARI'!$H$2:$H$200))</f>
        <v/>
      </c>
      <c r="D85" s="11">
        <f>IF($A85="","",SUMIF('İCRA DOSYALARI'!$A$2:$A$200,$A85,'İCRA DOSYALARI'!$N$2:$N$200))</f>
        <v/>
      </c>
      <c r="E85" s="11">
        <f>IF($A85="","",SUMIF('İCRA DOSYALARI'!$A$2:$A$200,$A85,'İCRA DOSYALARI'!$O$2:$O$200))</f>
        <v/>
      </c>
      <c r="F85" s="8">
        <f>IF($A85="","",IFERROR(INDEX('İCRA DOSYALARI'!$D$2:$D$200,MATCH($A85&amp;"|ÖDEMEDE",'İCRA DOSYALARI'!$S$2:$S$200,0)),"-"))</f>
        <v/>
      </c>
      <c r="G85" s="11">
        <f>IF($A85="","",IFERROR(INDEX('İCRA DOSYALARI'!$O$2:$O$200,MATCH($A85&amp;"|ÖDEMEDE",'İCRA DOSYALARI'!$S$2:$S$200,0)),"-"))</f>
        <v/>
      </c>
    </row>
    <row r="86">
      <c r="A86" s="8" t="n"/>
      <c r="B86" s="8">
        <f>IF($A86="","",COUNTIF('İCRA DOSYALARI'!$A$2:$A$200,$A86))</f>
        <v/>
      </c>
      <c r="C86" s="11">
        <f>IF($A86="","",SUMIF('İCRA DOSYALARI'!$A$2:$A$200,$A86,'İCRA DOSYALARI'!$H$2:$H$200))</f>
        <v/>
      </c>
      <c r="D86" s="11">
        <f>IF($A86="","",SUMIF('İCRA DOSYALARI'!$A$2:$A$200,$A86,'İCRA DOSYALARI'!$N$2:$N$200))</f>
        <v/>
      </c>
      <c r="E86" s="11">
        <f>IF($A86="","",SUMIF('İCRA DOSYALARI'!$A$2:$A$200,$A86,'İCRA DOSYALARI'!$O$2:$O$200))</f>
        <v/>
      </c>
      <c r="F86" s="8">
        <f>IF($A86="","",IFERROR(INDEX('İCRA DOSYALARI'!$D$2:$D$200,MATCH($A86&amp;"|ÖDEMEDE",'İCRA DOSYALARI'!$S$2:$S$200,0)),"-"))</f>
        <v/>
      </c>
      <c r="G86" s="11">
        <f>IF($A86="","",IFERROR(INDEX('İCRA DOSYALARI'!$O$2:$O$200,MATCH($A86&amp;"|ÖDEMEDE",'İCRA DOSYALARI'!$S$2:$S$200,0)),"-"))</f>
        <v/>
      </c>
    </row>
    <row r="87">
      <c r="A87" s="8" t="n"/>
      <c r="B87" s="8">
        <f>IF($A87="","",COUNTIF('İCRA DOSYALARI'!$A$2:$A$200,$A87))</f>
        <v/>
      </c>
      <c r="C87" s="11">
        <f>IF($A87="","",SUMIF('İCRA DOSYALARI'!$A$2:$A$200,$A87,'İCRA DOSYALARI'!$H$2:$H$200))</f>
        <v/>
      </c>
      <c r="D87" s="11">
        <f>IF($A87="","",SUMIF('İCRA DOSYALARI'!$A$2:$A$200,$A87,'İCRA DOSYALARI'!$N$2:$N$200))</f>
        <v/>
      </c>
      <c r="E87" s="11">
        <f>IF($A87="","",SUMIF('İCRA DOSYALARI'!$A$2:$A$200,$A87,'İCRA DOSYALARI'!$O$2:$O$200))</f>
        <v/>
      </c>
      <c r="F87" s="8">
        <f>IF($A87="","",IFERROR(INDEX('İCRA DOSYALARI'!$D$2:$D$200,MATCH($A87&amp;"|ÖDEMEDE",'İCRA DOSYALARI'!$S$2:$S$200,0)),"-"))</f>
        <v/>
      </c>
      <c r="G87" s="11">
        <f>IF($A87="","",IFERROR(INDEX('İCRA DOSYALARI'!$O$2:$O$200,MATCH($A87&amp;"|ÖDEMEDE",'İCRA DOSYALARI'!$S$2:$S$200,0)),"-"))</f>
        <v/>
      </c>
    </row>
    <row r="88">
      <c r="A88" s="8" t="n"/>
      <c r="B88" s="8">
        <f>IF($A88="","",COUNTIF('İCRA DOSYALARI'!$A$2:$A$200,$A88))</f>
        <v/>
      </c>
      <c r="C88" s="11">
        <f>IF($A88="","",SUMIF('İCRA DOSYALARI'!$A$2:$A$200,$A88,'İCRA DOSYALARI'!$H$2:$H$200))</f>
        <v/>
      </c>
      <c r="D88" s="11">
        <f>IF($A88="","",SUMIF('İCRA DOSYALARI'!$A$2:$A$200,$A88,'İCRA DOSYALARI'!$N$2:$N$200))</f>
        <v/>
      </c>
      <c r="E88" s="11">
        <f>IF($A88="","",SUMIF('İCRA DOSYALARI'!$A$2:$A$200,$A88,'İCRA DOSYALARI'!$O$2:$O$200))</f>
        <v/>
      </c>
      <c r="F88" s="8">
        <f>IF($A88="","",IFERROR(INDEX('İCRA DOSYALARI'!$D$2:$D$200,MATCH($A88&amp;"|ÖDEMEDE",'İCRA DOSYALARI'!$S$2:$S$200,0)),"-"))</f>
        <v/>
      </c>
      <c r="G88" s="11">
        <f>IF($A88="","",IFERROR(INDEX('İCRA DOSYALARI'!$O$2:$O$200,MATCH($A88&amp;"|ÖDEMEDE",'İCRA DOSYALARI'!$S$2:$S$200,0)),"-"))</f>
        <v/>
      </c>
    </row>
    <row r="89">
      <c r="A89" s="8" t="n"/>
      <c r="B89" s="8">
        <f>IF($A89="","",COUNTIF('İCRA DOSYALARI'!$A$2:$A$200,$A89))</f>
        <v/>
      </c>
      <c r="C89" s="11">
        <f>IF($A89="","",SUMIF('İCRA DOSYALARI'!$A$2:$A$200,$A89,'İCRA DOSYALARI'!$H$2:$H$200))</f>
        <v/>
      </c>
      <c r="D89" s="11">
        <f>IF($A89="","",SUMIF('İCRA DOSYALARI'!$A$2:$A$200,$A89,'İCRA DOSYALARI'!$N$2:$N$200))</f>
        <v/>
      </c>
      <c r="E89" s="11">
        <f>IF($A89="","",SUMIF('İCRA DOSYALARI'!$A$2:$A$200,$A89,'İCRA DOSYALARI'!$O$2:$O$200))</f>
        <v/>
      </c>
      <c r="F89" s="8">
        <f>IF($A89="","",IFERROR(INDEX('İCRA DOSYALARI'!$D$2:$D$200,MATCH($A89&amp;"|ÖDEMEDE",'İCRA DOSYALARI'!$S$2:$S$200,0)),"-"))</f>
        <v/>
      </c>
      <c r="G89" s="11">
        <f>IF($A89="","",IFERROR(INDEX('İCRA DOSYALARI'!$O$2:$O$200,MATCH($A89&amp;"|ÖDEMEDE",'İCRA DOSYALARI'!$S$2:$S$200,0)),"-"))</f>
        <v/>
      </c>
    </row>
    <row r="90">
      <c r="A90" s="8" t="n"/>
      <c r="B90" s="8">
        <f>IF($A90="","",COUNTIF('İCRA DOSYALARI'!$A$2:$A$200,$A90))</f>
        <v/>
      </c>
      <c r="C90" s="11">
        <f>IF($A90="","",SUMIF('İCRA DOSYALARI'!$A$2:$A$200,$A90,'İCRA DOSYALARI'!$H$2:$H$200))</f>
        <v/>
      </c>
      <c r="D90" s="11">
        <f>IF($A90="","",SUMIF('İCRA DOSYALARI'!$A$2:$A$200,$A90,'İCRA DOSYALARI'!$N$2:$N$200))</f>
        <v/>
      </c>
      <c r="E90" s="11">
        <f>IF($A90="","",SUMIF('İCRA DOSYALARI'!$A$2:$A$200,$A90,'İCRA DOSYALARI'!$O$2:$O$200))</f>
        <v/>
      </c>
      <c r="F90" s="8">
        <f>IF($A90="","",IFERROR(INDEX('İCRA DOSYALARI'!$D$2:$D$200,MATCH($A90&amp;"|ÖDEMEDE",'İCRA DOSYALARI'!$S$2:$S$200,0)),"-"))</f>
        <v/>
      </c>
      <c r="G90" s="11">
        <f>IF($A90="","",IFERROR(INDEX('İCRA DOSYALARI'!$O$2:$O$200,MATCH($A90&amp;"|ÖDEMEDE",'İCRA DOSYALARI'!$S$2:$S$200,0)),"-"))</f>
        <v/>
      </c>
    </row>
    <row r="91">
      <c r="A91" s="8" t="n"/>
      <c r="B91" s="8">
        <f>IF($A91="","",COUNTIF('İCRA DOSYALARI'!$A$2:$A$200,$A91))</f>
        <v/>
      </c>
      <c r="C91" s="11">
        <f>IF($A91="","",SUMIF('İCRA DOSYALARI'!$A$2:$A$200,$A91,'İCRA DOSYALARI'!$H$2:$H$200))</f>
        <v/>
      </c>
      <c r="D91" s="11">
        <f>IF($A91="","",SUMIF('İCRA DOSYALARI'!$A$2:$A$200,$A91,'İCRA DOSYALARI'!$N$2:$N$200))</f>
        <v/>
      </c>
      <c r="E91" s="11">
        <f>IF($A91="","",SUMIF('İCRA DOSYALARI'!$A$2:$A$200,$A91,'İCRA DOSYALARI'!$O$2:$O$200))</f>
        <v/>
      </c>
      <c r="F91" s="8">
        <f>IF($A91="","",IFERROR(INDEX('İCRA DOSYALARI'!$D$2:$D$200,MATCH($A91&amp;"|ÖDEMEDE",'İCRA DOSYALARI'!$S$2:$S$200,0)),"-"))</f>
        <v/>
      </c>
      <c r="G91" s="11">
        <f>IF($A91="","",IFERROR(INDEX('İCRA DOSYALARI'!$O$2:$O$200,MATCH($A91&amp;"|ÖDEMEDE",'İCRA DOSYALARI'!$S$2:$S$200,0)),"-"))</f>
        <v/>
      </c>
    </row>
    <row r="92">
      <c r="A92" s="8" t="n"/>
      <c r="B92" s="8">
        <f>IF($A92="","",COUNTIF('İCRA DOSYALARI'!$A$2:$A$200,$A92))</f>
        <v/>
      </c>
      <c r="C92" s="11">
        <f>IF($A92="","",SUMIF('İCRA DOSYALARI'!$A$2:$A$200,$A92,'İCRA DOSYALARI'!$H$2:$H$200))</f>
        <v/>
      </c>
      <c r="D92" s="11">
        <f>IF($A92="","",SUMIF('İCRA DOSYALARI'!$A$2:$A$200,$A92,'İCRA DOSYALARI'!$N$2:$N$200))</f>
        <v/>
      </c>
      <c r="E92" s="11">
        <f>IF($A92="","",SUMIF('İCRA DOSYALARI'!$A$2:$A$200,$A92,'İCRA DOSYALARI'!$O$2:$O$200))</f>
        <v/>
      </c>
      <c r="F92" s="8">
        <f>IF($A92="","",IFERROR(INDEX('İCRA DOSYALARI'!$D$2:$D$200,MATCH($A92&amp;"|ÖDEMEDE",'İCRA DOSYALARI'!$S$2:$S$200,0)),"-"))</f>
        <v/>
      </c>
      <c r="G92" s="11">
        <f>IF($A92="","",IFERROR(INDEX('İCRA DOSYALARI'!$O$2:$O$200,MATCH($A92&amp;"|ÖDEMEDE",'İCRA DOSYALARI'!$S$2:$S$200,0)),"-"))</f>
        <v/>
      </c>
    </row>
    <row r="93">
      <c r="A93" s="8" t="n"/>
      <c r="B93" s="8">
        <f>IF($A93="","",COUNTIF('İCRA DOSYALARI'!$A$2:$A$200,$A93))</f>
        <v/>
      </c>
      <c r="C93" s="11">
        <f>IF($A93="","",SUMIF('İCRA DOSYALARI'!$A$2:$A$200,$A93,'İCRA DOSYALARI'!$H$2:$H$200))</f>
        <v/>
      </c>
      <c r="D93" s="11">
        <f>IF($A93="","",SUMIF('İCRA DOSYALARI'!$A$2:$A$200,$A93,'İCRA DOSYALARI'!$N$2:$N$200))</f>
        <v/>
      </c>
      <c r="E93" s="11">
        <f>IF($A93="","",SUMIF('İCRA DOSYALARI'!$A$2:$A$200,$A93,'İCRA DOSYALARI'!$O$2:$O$200))</f>
        <v/>
      </c>
      <c r="F93" s="8">
        <f>IF($A93="","",IFERROR(INDEX('İCRA DOSYALARI'!$D$2:$D$200,MATCH($A93&amp;"|ÖDEMEDE",'İCRA DOSYALARI'!$S$2:$S$200,0)),"-"))</f>
        <v/>
      </c>
      <c r="G93" s="11">
        <f>IF($A93="","",IFERROR(INDEX('İCRA DOSYALARI'!$O$2:$O$200,MATCH($A93&amp;"|ÖDEMEDE",'İCRA DOSYALARI'!$S$2:$S$200,0)),"-"))</f>
        <v/>
      </c>
    </row>
    <row r="94">
      <c r="A94" s="8" t="n"/>
      <c r="B94" s="8">
        <f>IF($A94="","",COUNTIF('İCRA DOSYALARI'!$A$2:$A$200,$A94))</f>
        <v/>
      </c>
      <c r="C94" s="11">
        <f>IF($A94="","",SUMIF('İCRA DOSYALARI'!$A$2:$A$200,$A94,'İCRA DOSYALARI'!$H$2:$H$200))</f>
        <v/>
      </c>
      <c r="D94" s="11">
        <f>IF($A94="","",SUMIF('İCRA DOSYALARI'!$A$2:$A$200,$A94,'İCRA DOSYALARI'!$N$2:$N$200))</f>
        <v/>
      </c>
      <c r="E94" s="11">
        <f>IF($A94="","",SUMIF('İCRA DOSYALARI'!$A$2:$A$200,$A94,'İCRA DOSYALARI'!$O$2:$O$200))</f>
        <v/>
      </c>
      <c r="F94" s="8">
        <f>IF($A94="","",IFERROR(INDEX('İCRA DOSYALARI'!$D$2:$D$200,MATCH($A94&amp;"|ÖDEMEDE",'İCRA DOSYALARI'!$S$2:$S$200,0)),"-"))</f>
        <v/>
      </c>
      <c r="G94" s="11">
        <f>IF($A94="","",IFERROR(INDEX('İCRA DOSYALARI'!$O$2:$O$200,MATCH($A94&amp;"|ÖDEMEDE",'İCRA DOSYALARI'!$S$2:$S$200,0)),"-"))</f>
        <v/>
      </c>
    </row>
    <row r="95">
      <c r="A95" s="8" t="n"/>
      <c r="B95" s="8">
        <f>IF($A95="","",COUNTIF('İCRA DOSYALARI'!$A$2:$A$200,$A95))</f>
        <v/>
      </c>
      <c r="C95" s="11">
        <f>IF($A95="","",SUMIF('İCRA DOSYALARI'!$A$2:$A$200,$A95,'İCRA DOSYALARI'!$H$2:$H$200))</f>
        <v/>
      </c>
      <c r="D95" s="11">
        <f>IF($A95="","",SUMIF('İCRA DOSYALARI'!$A$2:$A$200,$A95,'İCRA DOSYALARI'!$N$2:$N$200))</f>
        <v/>
      </c>
      <c r="E95" s="11">
        <f>IF($A95="","",SUMIF('İCRA DOSYALARI'!$A$2:$A$200,$A95,'İCRA DOSYALARI'!$O$2:$O$200))</f>
        <v/>
      </c>
      <c r="F95" s="8">
        <f>IF($A95="","",IFERROR(INDEX('İCRA DOSYALARI'!$D$2:$D$200,MATCH($A95&amp;"|ÖDEMEDE",'İCRA DOSYALARI'!$S$2:$S$200,0)),"-"))</f>
        <v/>
      </c>
      <c r="G95" s="11">
        <f>IF($A95="","",IFERROR(INDEX('İCRA DOSYALARI'!$O$2:$O$200,MATCH($A95&amp;"|ÖDEMEDE",'İCRA DOSYALARI'!$S$2:$S$200,0)),"-"))</f>
        <v/>
      </c>
    </row>
    <row r="96">
      <c r="A96" s="8" t="n"/>
      <c r="B96" s="8">
        <f>IF($A96="","",COUNTIF('İCRA DOSYALARI'!$A$2:$A$200,$A96))</f>
        <v/>
      </c>
      <c r="C96" s="11">
        <f>IF($A96="","",SUMIF('İCRA DOSYALARI'!$A$2:$A$200,$A96,'İCRA DOSYALARI'!$H$2:$H$200))</f>
        <v/>
      </c>
      <c r="D96" s="11">
        <f>IF($A96="","",SUMIF('İCRA DOSYALARI'!$A$2:$A$200,$A96,'İCRA DOSYALARI'!$N$2:$N$200))</f>
        <v/>
      </c>
      <c r="E96" s="11">
        <f>IF($A96="","",SUMIF('İCRA DOSYALARI'!$A$2:$A$200,$A96,'İCRA DOSYALARI'!$O$2:$O$200))</f>
        <v/>
      </c>
      <c r="F96" s="8">
        <f>IF($A96="","",IFERROR(INDEX('İCRA DOSYALARI'!$D$2:$D$200,MATCH($A96&amp;"|ÖDEMEDE",'İCRA DOSYALARI'!$S$2:$S$200,0)),"-"))</f>
        <v/>
      </c>
      <c r="G96" s="11">
        <f>IF($A96="","",IFERROR(INDEX('İCRA DOSYALARI'!$O$2:$O$200,MATCH($A96&amp;"|ÖDEMEDE",'İCRA DOSYALARI'!$S$2:$S$200,0)),"-"))</f>
        <v/>
      </c>
    </row>
    <row r="97">
      <c r="A97" s="8" t="n"/>
      <c r="B97" s="8">
        <f>IF($A97="","",COUNTIF('İCRA DOSYALARI'!$A$2:$A$200,$A97))</f>
        <v/>
      </c>
      <c r="C97" s="11">
        <f>IF($A97="","",SUMIF('İCRA DOSYALARI'!$A$2:$A$200,$A97,'İCRA DOSYALARI'!$H$2:$H$200))</f>
        <v/>
      </c>
      <c r="D97" s="11">
        <f>IF($A97="","",SUMIF('İCRA DOSYALARI'!$A$2:$A$200,$A97,'İCRA DOSYALARI'!$N$2:$N$200))</f>
        <v/>
      </c>
      <c r="E97" s="11">
        <f>IF($A97="","",SUMIF('İCRA DOSYALARI'!$A$2:$A$200,$A97,'İCRA DOSYALARI'!$O$2:$O$200))</f>
        <v/>
      </c>
      <c r="F97" s="8">
        <f>IF($A97="","",IFERROR(INDEX('İCRA DOSYALARI'!$D$2:$D$200,MATCH($A97&amp;"|ÖDEMEDE",'İCRA DOSYALARI'!$S$2:$S$200,0)),"-"))</f>
        <v/>
      </c>
      <c r="G97" s="11">
        <f>IF($A97="","",IFERROR(INDEX('İCRA DOSYALARI'!$O$2:$O$200,MATCH($A97&amp;"|ÖDEMEDE",'İCRA DOSYALARI'!$S$2:$S$200,0)),"-"))</f>
        <v/>
      </c>
    </row>
    <row r="98">
      <c r="A98" s="8" t="n"/>
      <c r="B98" s="8">
        <f>IF($A98="","",COUNTIF('İCRA DOSYALARI'!$A$2:$A$200,$A98))</f>
        <v/>
      </c>
      <c r="C98" s="11">
        <f>IF($A98="","",SUMIF('İCRA DOSYALARI'!$A$2:$A$200,$A98,'İCRA DOSYALARI'!$H$2:$H$200))</f>
        <v/>
      </c>
      <c r="D98" s="11">
        <f>IF($A98="","",SUMIF('İCRA DOSYALARI'!$A$2:$A$200,$A98,'İCRA DOSYALARI'!$N$2:$N$200))</f>
        <v/>
      </c>
      <c r="E98" s="11">
        <f>IF($A98="","",SUMIF('İCRA DOSYALARI'!$A$2:$A$200,$A98,'İCRA DOSYALARI'!$O$2:$O$200))</f>
        <v/>
      </c>
      <c r="F98" s="8">
        <f>IF($A98="","",IFERROR(INDEX('İCRA DOSYALARI'!$D$2:$D$200,MATCH($A98&amp;"|ÖDEMEDE",'İCRA DOSYALARI'!$S$2:$S$200,0)),"-"))</f>
        <v/>
      </c>
      <c r="G98" s="11">
        <f>IF($A98="","",IFERROR(INDEX('İCRA DOSYALARI'!$O$2:$O$200,MATCH($A98&amp;"|ÖDEMEDE",'İCRA DOSYALARI'!$S$2:$S$200,0)),"-"))</f>
        <v/>
      </c>
    </row>
    <row r="99">
      <c r="A99" s="8" t="n"/>
      <c r="B99" s="8">
        <f>IF($A99="","",COUNTIF('İCRA DOSYALARI'!$A$2:$A$200,$A99))</f>
        <v/>
      </c>
      <c r="C99" s="11">
        <f>IF($A99="","",SUMIF('İCRA DOSYALARI'!$A$2:$A$200,$A99,'İCRA DOSYALARI'!$H$2:$H$200))</f>
        <v/>
      </c>
      <c r="D99" s="11">
        <f>IF($A99="","",SUMIF('İCRA DOSYALARI'!$A$2:$A$200,$A99,'İCRA DOSYALARI'!$N$2:$N$200))</f>
        <v/>
      </c>
      <c r="E99" s="11">
        <f>IF($A99="","",SUMIF('İCRA DOSYALARI'!$A$2:$A$200,$A99,'İCRA DOSYALARI'!$O$2:$O$200))</f>
        <v/>
      </c>
      <c r="F99" s="8">
        <f>IF($A99="","",IFERROR(INDEX('İCRA DOSYALARI'!$D$2:$D$200,MATCH($A99&amp;"|ÖDEMEDE",'İCRA DOSYALARI'!$S$2:$S$200,0)),"-"))</f>
        <v/>
      </c>
      <c r="G99" s="11">
        <f>IF($A99="","",IFERROR(INDEX('İCRA DOSYALARI'!$O$2:$O$200,MATCH($A99&amp;"|ÖDEMEDE",'İCRA DOSYALARI'!$S$2:$S$200,0)),"-"))</f>
        <v/>
      </c>
    </row>
    <row r="100">
      <c r="A100" s="8" t="n"/>
      <c r="B100" s="8">
        <f>IF($A100="","",COUNTIF('İCRA DOSYALARI'!$A$2:$A$200,$A100))</f>
        <v/>
      </c>
      <c r="C100" s="11">
        <f>IF($A100="","",SUMIF('İCRA DOSYALARI'!$A$2:$A$200,$A100,'İCRA DOSYALARI'!$H$2:$H$200))</f>
        <v/>
      </c>
      <c r="D100" s="11">
        <f>IF($A100="","",SUMIF('İCRA DOSYALARI'!$A$2:$A$200,$A100,'İCRA DOSYALARI'!$N$2:$N$200))</f>
        <v/>
      </c>
      <c r="E100" s="11">
        <f>IF($A100="","",SUMIF('İCRA DOSYALARI'!$A$2:$A$200,$A100,'İCRA DOSYALARI'!$O$2:$O$200))</f>
        <v/>
      </c>
      <c r="F100" s="8">
        <f>IF($A100="","",IFERROR(INDEX('İCRA DOSYALARI'!$D$2:$D$200,MATCH($A100&amp;"|ÖDEMEDE",'İCRA DOSYALARI'!$S$2:$S$200,0)),"-"))</f>
        <v/>
      </c>
      <c r="G100" s="11">
        <f>IF($A100="","",IFERROR(INDEX('İCRA DOSYALARI'!$O$2:$O$200,MATCH($A100&amp;"|ÖDEMEDE",'İCRA DOSYALARI'!$S$2:$S$200,0)),"-"))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2026-06-09T22:50:36Z</dcterms:created>
  <dcterms:modified xsi:type="dcterms:W3CDTF">2026-06-09T22:50:36Z</dcterms:modified>
</cp:coreProperties>
</file>