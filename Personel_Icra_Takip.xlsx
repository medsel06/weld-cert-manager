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ULLANIM" sheetId="1" state="visible" r:id="rId1"/>
    <sheet name="PERSONEL" sheetId="2" state="visible" r:id="rId2"/>
    <sheet name="İCRA DOSYALARI" sheetId="3" state="visible" r:id="rId3"/>
    <sheet name="AYLIK KESİNTİLER" sheetId="4" state="visible" r:id="rId4"/>
    <sheet name="PANEL" sheetId="5" state="visible" r:id="rId5"/>
    <sheet name="PERSONEL ÖZET" sheetId="6" state="visible" r:id="rId6"/>
  </sheets>
  <definedNames>
    <definedName name="PersonelAdlari">PERSONEL!$A$2:$A$300</definedName>
    <definedName name="_xlnm._FilterDatabase" localSheetId="2" hidden="1">'İCRA DOSYALARI'!$A$1:$U$300</definedName>
    <definedName name="_xlnm._FilterDatabase" localSheetId="3" hidden="1">'AYLIK KESİNTİLER'!$A$1:$F$5000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0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b val="1"/>
      <color rgb="00FFFFFF"/>
      <sz val="10"/>
    </font>
    <font>
      <b val="1"/>
      <color rgb="001F4E78"/>
      <sz val="15"/>
    </font>
    <font>
      <b val="1"/>
    </font>
    <font>
      <b val="1"/>
      <sz val="12"/>
    </font>
    <font>
      <b val="1"/>
      <color rgb="00C00000"/>
      <sz val="12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5911"/>
        <bgColor rgb="00C65911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horizontal="center"/>
    </xf>
    <xf numFmtId="4" fontId="8" fillId="0" borderId="1" pivotButton="0" quotePrefix="0" xfId="0"/>
    <xf numFmtId="0" fontId="9" fillId="5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595959"/>
      </font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2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2" ht="18" customHeight="1">
      <c r="A2" s="1" t="inlineStr">
        <is>
          <t>PERSONEL İCRA TAKİP DOSYASI (makro destekli)</t>
        </is>
      </c>
    </row>
    <row r="3" ht="42" customHeight="1">
      <c r="A3" s="2" t="inlineStr">
        <is>
          <t>Bir personelin birden fazla icra dosyasını öncelik sırasına göre izler; net maaştan oranlı (1/4) veya sabit tutarlı kesintiyi kendisi hesaplar, 'KAYDET' butonuyla aylık kesintileri otomatik işler.</t>
        </is>
      </c>
    </row>
    <row r="4" ht="18" customHeight="1">
      <c r="A4" s="2" t="inlineStr"/>
    </row>
    <row r="5" ht="18" customHeight="1">
      <c r="A5" s="3" t="inlineStr">
        <is>
          <t>SAYFALAR</t>
        </is>
      </c>
    </row>
    <row r="6" ht="30" customHeight="1">
      <c r="A6" s="2" t="inlineStr">
        <is>
          <t>1) PERSONEL: Her personeli bir kez girin: Ad Soyad, TC, NET MAAŞ. Maaş değişince burada güncelleyin.</t>
        </is>
      </c>
    </row>
    <row r="7" ht="42" customHeight="1">
      <c r="A7" s="2" t="inlineStr">
        <is>
          <t>2) İCRA DOSYALARI: Her icra dosyası AYRI SATIR (5 icrası olan personel için 5 satır). 'Öncelik Sırası'na 1, 2, 3... yazın. Kesinti kuralını BİR KEZ girin: Kesinti Şekli = Oran ise Pay/Payda kutularına örn. 1 ve 4 yazın (Zirve'deki 1/4 gibi); Sabit Tutar ise aylık tutarı yazın. TC, net maaş, tahsilat, kalan borç ve DURUM otomatiktir.</t>
        </is>
      </c>
    </row>
    <row r="8" ht="42" customHeight="1">
      <c r="A8" s="2" t="inlineStr">
        <is>
          <t>3) PANEL: Ay sonunda yıl/ay seçin, 'KESİNTİLERİ HESAPLA ve KAYDET' butonuna basın. Makro, ÖDEMEDE durumundaki dosyalara o ayın kesintisini hesaplayıp AYLIK KESİNTİLER'e işler (açıklamasına OTOMATİK yazar). Aynı ay ikinci kez basarsanız mükerrer kayıt OLUŞMAZ, atlanır.</t>
        </is>
      </c>
    </row>
    <row r="9" ht="42" customHeight="1">
      <c r="A9" s="2" t="inlineStr">
        <is>
          <t>4) AYLIK KESİNTİLER: Kesinti dökümü buraya birikir. Elle de satır girebilirsiniz (örn. geçmiş aylar). 'Geri Al' butonu yalnız seçili ayın OTOMATİK satırlarını siler.</t>
        </is>
      </c>
    </row>
    <row r="10" ht="30" customHeight="1">
      <c r="A10" s="2" t="inlineStr">
        <is>
          <t>5) PERSONEL ÖZET: Personel bazında toplamlar, ödemedeki dosya ve bu ay kesilecek tutar.</t>
        </is>
      </c>
    </row>
    <row r="11" ht="18" customHeight="1">
      <c r="A11" s="2" t="inlineStr"/>
    </row>
    <row r="12" ht="18" customHeight="1">
      <c r="A12" s="3" t="inlineStr">
        <is>
          <t>HESAP MANTIĞI</t>
        </is>
      </c>
    </row>
    <row r="13" ht="42" customHeight="1">
      <c r="A13" s="2" t="inlineStr">
        <is>
          <t>Bu Ay Kesilecek = Net Maaş x Pay/Payda (veya Sabit Tutar); kalan borcu aşamaz. Kalan borcu biten dosya KAPANDI olur, sıradaki öncelik OTOMATİK ÖDEMEDE'ye geçer. Kaydederken dosya kapanır da tutar artarsa, artan kısım aynı ay sıradaki dosyaya işlenir.</t>
        </is>
      </c>
    </row>
    <row r="14" ht="18" customHeight="1">
      <c r="A14" s="2" t="inlineStr"/>
    </row>
    <row r="15" ht="18" customHeight="1">
      <c r="A15" s="3" t="inlineStr">
        <is>
          <t>MAKRO KURULUMU (bir kez, ~1 dakika)</t>
        </is>
      </c>
    </row>
    <row r="16" ht="42" customHeight="1">
      <c r="A16" s="2" t="inlineStr">
        <is>
          <t>ADIM 0: Dosyalar internetten/WhatsApp'tan geldiyse: bu Excel'e sağ tık &gt; Özellikler &gt; en altta 'Engellemeyi Kaldır' (Unblock) işaretli ise işaretleyip Tamam deyin.</t>
        </is>
      </c>
    </row>
    <row r="17" ht="30" customHeight="1">
      <c r="A17" s="2" t="inlineStr">
        <is>
          <t>ADIM 1: Bu dosyayı Excel'de açın, Alt+F11 tuşuna basın (VBA editörü açılır).</t>
        </is>
      </c>
    </row>
    <row r="18" ht="30" customHeight="1">
      <c r="A18" s="2" t="inlineStr">
        <is>
          <t>ADIM 2: Üst menüden Dosya &gt; Dosya Al... (File &gt; Import File) deyip IcraTakip.bas dosyasını seçin.</t>
        </is>
      </c>
    </row>
    <row r="19" ht="42" customHeight="1">
      <c r="A19" s="2" t="inlineStr">
        <is>
          <t>ADIM 3: Alt+Q ile editörden çıkın. Dosya &gt; Farklı Kaydet &gt; kayıt türü olarak 'Excel Makro İçerebilen Çalışma Kitabı (*.xlsm)' seçip kaydedin.</t>
        </is>
      </c>
    </row>
    <row r="20" ht="30" customHeight="1">
      <c r="A20" s="2" t="inlineStr">
        <is>
          <t>ADIM 4: Dosyayı kapatıp .xlsm olanı açın; sarı çubukta 'İçeriği Etkinleştir' çıkarsa tıklayın.</t>
        </is>
      </c>
    </row>
    <row r="21" ht="30" customHeight="1">
      <c r="A21" s="2" t="inlineStr">
        <is>
          <t>ADIM 5: Alt+F8 &gt; BUTONLARI_KUR &gt; Çalıştır. Butonlar PANEL sayfasına eklenir. Kurulum bitti.</t>
        </is>
      </c>
    </row>
    <row r="22" ht="18" customHeight="1">
      <c r="A22" s="2" t="inlineStr"/>
    </row>
    <row r="23" ht="18" customHeight="1">
      <c r="A23" s="3" t="inlineStr">
        <is>
          <t>RENK REHBERİ</t>
        </is>
      </c>
    </row>
    <row r="24" ht="18" customHeight="1">
      <c r="A24" s="4" t="inlineStr">
        <is>
          <t>LACİVERT başlıklı kolonlar elle doldurulur.</t>
        </is>
      </c>
    </row>
    <row r="25" ht="30" customHeight="1">
      <c r="A25" s="5" t="inlineStr">
        <is>
          <t>TURUNCU başlıklı kolonlar formüllüdür; elle veri GİRMEYİN, silmeyin.</t>
        </is>
      </c>
    </row>
    <row r="26" ht="30" customHeight="1">
      <c r="A26" s="2" t="inlineStr">
        <is>
          <t>DURUM RENKLERİ:   YEŞİL = ÖDEMEDE     SARI = SIRADA     GRİ = KAPANDI</t>
        </is>
      </c>
    </row>
    <row r="27" ht="30" customHeight="1">
      <c r="A27" s="2" t="inlineStr">
        <is>
          <t>Formüller 300 dosya / 5.000 kesinti satırı için hazırdır; gerekirse son formüllü satırı aşağı kopyalayın.</t>
        </is>
      </c>
    </row>
    <row r="28" ht="30" customHeight="1">
      <c r="A28" s="2" t="inlineStr">
        <is>
          <t>Örnek kayıtların açıklamasında 'ÖRNEK' yazar; kendi verinizi girerken silebilirsiniz.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E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4" customWidth="1" min="3" max="3"/>
    <col width="13" customWidth="1" min="4" max="4"/>
    <col width="32" customWidth="1" min="5" max="5"/>
  </cols>
  <sheetData>
    <row r="1" ht="34" customHeight="1">
      <c r="A1" s="6" t="inlineStr">
        <is>
          <t>Personel Adı Soyadı</t>
        </is>
      </c>
      <c r="B1" s="6" t="inlineStr">
        <is>
          <t>T.C. Kimlik No</t>
        </is>
      </c>
      <c r="C1" s="6" t="inlineStr">
        <is>
          <t>Net Maaş (TL)</t>
        </is>
      </c>
      <c r="D1" s="6" t="inlineStr">
        <is>
          <t>İşe Giriş Tarihi</t>
        </is>
      </c>
      <c r="E1" s="6" t="inlineStr">
        <is>
          <t>Açıklama</t>
        </is>
      </c>
    </row>
    <row r="2">
      <c r="A2" s="7" t="inlineStr">
        <is>
          <t>MERT TÜZE</t>
        </is>
      </c>
      <c r="B2" s="8" t="inlineStr">
        <is>
          <t>38128425238</t>
        </is>
      </c>
      <c r="C2" s="9" t="n">
        <v>28075.52</v>
      </c>
      <c r="D2" s="10" t="n">
        <v>45744</v>
      </c>
      <c r="E2" s="7" t="inlineStr">
        <is>
          <t>ÖRNEK KAYIT</t>
        </is>
      </c>
    </row>
    <row r="3">
      <c r="A3" s="7" t="inlineStr">
        <is>
          <t>AHMET BAŞOĞLU</t>
        </is>
      </c>
      <c r="B3" s="8" t="inlineStr">
        <is>
          <t>12856239602</t>
        </is>
      </c>
      <c r="C3" s="9" t="n">
        <v>24000</v>
      </c>
      <c r="D3" s="10" t="n">
        <v>46074</v>
      </c>
      <c r="E3" s="7" t="inlineStr">
        <is>
          <t>ÖRNEK KAYIT</t>
        </is>
      </c>
    </row>
    <row r="4">
      <c r="A4" s="7" t="n"/>
      <c r="B4" s="8" t="n"/>
      <c r="C4" s="9" t="n"/>
      <c r="D4" s="10" t="n"/>
      <c r="E4" s="7" t="n"/>
    </row>
    <row r="5">
      <c r="A5" s="7" t="n"/>
      <c r="B5" s="8" t="n"/>
      <c r="C5" s="9" t="n"/>
      <c r="D5" s="10" t="n"/>
      <c r="E5" s="7" t="n"/>
    </row>
    <row r="6">
      <c r="A6" s="7" t="n"/>
      <c r="B6" s="8" t="n"/>
      <c r="C6" s="9" t="n"/>
      <c r="D6" s="10" t="n"/>
      <c r="E6" s="7" t="n"/>
    </row>
    <row r="7">
      <c r="A7" s="7" t="n"/>
      <c r="B7" s="8" t="n"/>
      <c r="C7" s="9" t="n"/>
      <c r="D7" s="10" t="n"/>
      <c r="E7" s="7" t="n"/>
    </row>
    <row r="8">
      <c r="A8" s="7" t="n"/>
      <c r="B8" s="8" t="n"/>
      <c r="C8" s="9" t="n"/>
      <c r="D8" s="10" t="n"/>
      <c r="E8" s="7" t="n"/>
    </row>
    <row r="9">
      <c r="A9" s="7" t="n"/>
      <c r="B9" s="8" t="n"/>
      <c r="C9" s="9" t="n"/>
      <c r="D9" s="10" t="n"/>
      <c r="E9" s="7" t="n"/>
    </row>
    <row r="10">
      <c r="A10" s="7" t="n"/>
      <c r="B10" s="8" t="n"/>
      <c r="C10" s="9" t="n"/>
      <c r="D10" s="10" t="n"/>
      <c r="E10" s="7" t="n"/>
    </row>
    <row r="11">
      <c r="A11" s="7" t="n"/>
      <c r="B11" s="8" t="n"/>
      <c r="C11" s="9" t="n"/>
      <c r="D11" s="10" t="n"/>
      <c r="E11" s="7" t="n"/>
    </row>
    <row r="12">
      <c r="A12" s="7" t="n"/>
      <c r="B12" s="8" t="n"/>
      <c r="C12" s="9" t="n"/>
      <c r="D12" s="10" t="n"/>
      <c r="E12" s="7" t="n"/>
    </row>
    <row r="13">
      <c r="A13" s="7" t="n"/>
      <c r="B13" s="8" t="n"/>
      <c r="C13" s="9" t="n"/>
      <c r="D13" s="10" t="n"/>
      <c r="E13" s="7" t="n"/>
    </row>
    <row r="14">
      <c r="A14" s="7" t="n"/>
      <c r="B14" s="8" t="n"/>
      <c r="C14" s="9" t="n"/>
      <c r="D14" s="10" t="n"/>
      <c r="E14" s="7" t="n"/>
    </row>
    <row r="15">
      <c r="A15" s="7" t="n"/>
      <c r="B15" s="8" t="n"/>
      <c r="C15" s="9" t="n"/>
      <c r="D15" s="10" t="n"/>
      <c r="E15" s="7" t="n"/>
    </row>
    <row r="16">
      <c r="A16" s="7" t="n"/>
      <c r="B16" s="8" t="n"/>
      <c r="C16" s="9" t="n"/>
      <c r="D16" s="10" t="n"/>
      <c r="E16" s="7" t="n"/>
    </row>
    <row r="17">
      <c r="A17" s="7" t="n"/>
      <c r="B17" s="8" t="n"/>
      <c r="C17" s="9" t="n"/>
      <c r="D17" s="10" t="n"/>
      <c r="E17" s="7" t="n"/>
    </row>
    <row r="18">
      <c r="A18" s="7" t="n"/>
      <c r="B18" s="8" t="n"/>
      <c r="C18" s="9" t="n"/>
      <c r="D18" s="10" t="n"/>
      <c r="E18" s="7" t="n"/>
    </row>
    <row r="19">
      <c r="A19" s="7" t="n"/>
      <c r="B19" s="8" t="n"/>
      <c r="C19" s="9" t="n"/>
      <c r="D19" s="10" t="n"/>
      <c r="E19" s="7" t="n"/>
    </row>
    <row r="20">
      <c r="A20" s="7" t="n"/>
      <c r="B20" s="8" t="n"/>
      <c r="C20" s="9" t="n"/>
      <c r="D20" s="10" t="n"/>
      <c r="E20" s="7" t="n"/>
    </row>
    <row r="21">
      <c r="A21" s="7" t="n"/>
      <c r="B21" s="8" t="n"/>
      <c r="C21" s="9" t="n"/>
      <c r="D21" s="10" t="n"/>
      <c r="E21" s="7" t="n"/>
    </row>
    <row r="22">
      <c r="A22" s="7" t="n"/>
      <c r="B22" s="8" t="n"/>
      <c r="C22" s="9" t="n"/>
      <c r="D22" s="10" t="n"/>
      <c r="E22" s="7" t="n"/>
    </row>
    <row r="23">
      <c r="A23" s="7" t="n"/>
      <c r="B23" s="8" t="n"/>
      <c r="C23" s="9" t="n"/>
      <c r="D23" s="10" t="n"/>
      <c r="E23" s="7" t="n"/>
    </row>
    <row r="24">
      <c r="A24" s="7" t="n"/>
      <c r="B24" s="8" t="n"/>
      <c r="C24" s="9" t="n"/>
      <c r="D24" s="10" t="n"/>
      <c r="E24" s="7" t="n"/>
    </row>
    <row r="25">
      <c r="A25" s="7" t="n"/>
      <c r="B25" s="8" t="n"/>
      <c r="C25" s="9" t="n"/>
      <c r="D25" s="10" t="n"/>
      <c r="E25" s="7" t="n"/>
    </row>
    <row r="26">
      <c r="A26" s="7" t="n"/>
      <c r="B26" s="8" t="n"/>
      <c r="C26" s="9" t="n"/>
      <c r="D26" s="10" t="n"/>
      <c r="E26" s="7" t="n"/>
    </row>
    <row r="27">
      <c r="A27" s="7" t="n"/>
      <c r="B27" s="8" t="n"/>
      <c r="C27" s="9" t="n"/>
      <c r="D27" s="10" t="n"/>
      <c r="E27" s="7" t="n"/>
    </row>
    <row r="28">
      <c r="A28" s="7" t="n"/>
      <c r="B28" s="8" t="n"/>
      <c r="C28" s="9" t="n"/>
      <c r="D28" s="10" t="n"/>
      <c r="E28" s="7" t="n"/>
    </row>
    <row r="29">
      <c r="A29" s="7" t="n"/>
      <c r="B29" s="8" t="n"/>
      <c r="C29" s="9" t="n"/>
      <c r="D29" s="10" t="n"/>
      <c r="E29" s="7" t="n"/>
    </row>
    <row r="30">
      <c r="A30" s="7" t="n"/>
      <c r="B30" s="8" t="n"/>
      <c r="C30" s="9" t="n"/>
      <c r="D30" s="10" t="n"/>
      <c r="E30" s="7" t="n"/>
    </row>
    <row r="31">
      <c r="A31" s="7" t="n"/>
      <c r="B31" s="8" t="n"/>
      <c r="C31" s="9" t="n"/>
      <c r="D31" s="10" t="n"/>
      <c r="E31" s="7" t="n"/>
    </row>
    <row r="32">
      <c r="A32" s="7" t="n"/>
      <c r="B32" s="8" t="n"/>
      <c r="C32" s="9" t="n"/>
      <c r="D32" s="10" t="n"/>
      <c r="E32" s="7" t="n"/>
    </row>
    <row r="33">
      <c r="A33" s="7" t="n"/>
      <c r="B33" s="8" t="n"/>
      <c r="C33" s="9" t="n"/>
      <c r="D33" s="10" t="n"/>
      <c r="E33" s="7" t="n"/>
    </row>
    <row r="34">
      <c r="A34" s="7" t="n"/>
      <c r="B34" s="8" t="n"/>
      <c r="C34" s="9" t="n"/>
      <c r="D34" s="10" t="n"/>
      <c r="E34" s="7" t="n"/>
    </row>
    <row r="35">
      <c r="A35" s="7" t="n"/>
      <c r="B35" s="8" t="n"/>
      <c r="C35" s="9" t="n"/>
      <c r="D35" s="10" t="n"/>
      <c r="E35" s="7" t="n"/>
    </row>
    <row r="36">
      <c r="A36" s="7" t="n"/>
      <c r="B36" s="8" t="n"/>
      <c r="C36" s="9" t="n"/>
      <c r="D36" s="10" t="n"/>
      <c r="E36" s="7" t="n"/>
    </row>
    <row r="37">
      <c r="A37" s="7" t="n"/>
      <c r="B37" s="8" t="n"/>
      <c r="C37" s="9" t="n"/>
      <c r="D37" s="10" t="n"/>
      <c r="E37" s="7" t="n"/>
    </row>
    <row r="38">
      <c r="A38" s="7" t="n"/>
      <c r="B38" s="8" t="n"/>
      <c r="C38" s="9" t="n"/>
      <c r="D38" s="10" t="n"/>
      <c r="E38" s="7" t="n"/>
    </row>
    <row r="39">
      <c r="A39" s="7" t="n"/>
      <c r="B39" s="8" t="n"/>
      <c r="C39" s="9" t="n"/>
      <c r="D39" s="10" t="n"/>
      <c r="E39" s="7" t="n"/>
    </row>
    <row r="40">
      <c r="A40" s="7" t="n"/>
      <c r="B40" s="8" t="n"/>
      <c r="C40" s="9" t="n"/>
      <c r="D40" s="10" t="n"/>
      <c r="E40" s="7" t="n"/>
    </row>
    <row r="41">
      <c r="A41" s="7" t="n"/>
      <c r="B41" s="8" t="n"/>
      <c r="C41" s="9" t="n"/>
      <c r="D41" s="10" t="n"/>
      <c r="E41" s="7" t="n"/>
    </row>
    <row r="42">
      <c r="A42" s="7" t="n"/>
      <c r="B42" s="8" t="n"/>
      <c r="C42" s="9" t="n"/>
      <c r="D42" s="10" t="n"/>
      <c r="E42" s="7" t="n"/>
    </row>
    <row r="43">
      <c r="A43" s="7" t="n"/>
      <c r="B43" s="8" t="n"/>
      <c r="C43" s="9" t="n"/>
      <c r="D43" s="10" t="n"/>
      <c r="E43" s="7" t="n"/>
    </row>
    <row r="44">
      <c r="A44" s="7" t="n"/>
      <c r="B44" s="8" t="n"/>
      <c r="C44" s="9" t="n"/>
      <c r="D44" s="10" t="n"/>
      <c r="E44" s="7" t="n"/>
    </row>
    <row r="45">
      <c r="A45" s="7" t="n"/>
      <c r="B45" s="8" t="n"/>
      <c r="C45" s="9" t="n"/>
      <c r="D45" s="10" t="n"/>
      <c r="E45" s="7" t="n"/>
    </row>
    <row r="46">
      <c r="A46" s="7" t="n"/>
      <c r="B46" s="8" t="n"/>
      <c r="C46" s="9" t="n"/>
      <c r="D46" s="10" t="n"/>
      <c r="E46" s="7" t="n"/>
    </row>
    <row r="47">
      <c r="A47" s="7" t="n"/>
      <c r="B47" s="8" t="n"/>
      <c r="C47" s="9" t="n"/>
      <c r="D47" s="10" t="n"/>
      <c r="E47" s="7" t="n"/>
    </row>
    <row r="48">
      <c r="A48" s="7" t="n"/>
      <c r="B48" s="8" t="n"/>
      <c r="C48" s="9" t="n"/>
      <c r="D48" s="10" t="n"/>
      <c r="E48" s="7" t="n"/>
    </row>
    <row r="49">
      <c r="A49" s="7" t="n"/>
      <c r="B49" s="8" t="n"/>
      <c r="C49" s="9" t="n"/>
      <c r="D49" s="10" t="n"/>
      <c r="E49" s="7" t="n"/>
    </row>
    <row r="50">
      <c r="A50" s="7" t="n"/>
      <c r="B50" s="8" t="n"/>
      <c r="C50" s="9" t="n"/>
      <c r="D50" s="10" t="n"/>
      <c r="E50" s="7" t="n"/>
    </row>
    <row r="51">
      <c r="A51" s="7" t="n"/>
      <c r="B51" s="8" t="n"/>
      <c r="C51" s="9" t="n"/>
      <c r="D51" s="10" t="n"/>
      <c r="E51" s="7" t="n"/>
    </row>
    <row r="52">
      <c r="A52" s="7" t="n"/>
      <c r="B52" s="8" t="n"/>
      <c r="C52" s="9" t="n"/>
      <c r="D52" s="10" t="n"/>
      <c r="E52" s="7" t="n"/>
    </row>
    <row r="53">
      <c r="A53" s="7" t="n"/>
      <c r="B53" s="8" t="n"/>
      <c r="C53" s="9" t="n"/>
      <c r="D53" s="10" t="n"/>
      <c r="E53" s="7" t="n"/>
    </row>
    <row r="54">
      <c r="A54" s="7" t="n"/>
      <c r="B54" s="8" t="n"/>
      <c r="C54" s="9" t="n"/>
      <c r="D54" s="10" t="n"/>
      <c r="E54" s="7" t="n"/>
    </row>
    <row r="55">
      <c r="A55" s="7" t="n"/>
      <c r="B55" s="8" t="n"/>
      <c r="C55" s="9" t="n"/>
      <c r="D55" s="10" t="n"/>
      <c r="E55" s="7" t="n"/>
    </row>
    <row r="56">
      <c r="A56" s="7" t="n"/>
      <c r="B56" s="8" t="n"/>
      <c r="C56" s="9" t="n"/>
      <c r="D56" s="10" t="n"/>
      <c r="E56" s="7" t="n"/>
    </row>
    <row r="57">
      <c r="A57" s="7" t="n"/>
      <c r="B57" s="8" t="n"/>
      <c r="C57" s="9" t="n"/>
      <c r="D57" s="10" t="n"/>
      <c r="E57" s="7" t="n"/>
    </row>
    <row r="58">
      <c r="A58" s="7" t="n"/>
      <c r="B58" s="8" t="n"/>
      <c r="C58" s="9" t="n"/>
      <c r="D58" s="10" t="n"/>
      <c r="E58" s="7" t="n"/>
    </row>
    <row r="59">
      <c r="A59" s="7" t="n"/>
      <c r="B59" s="8" t="n"/>
      <c r="C59" s="9" t="n"/>
      <c r="D59" s="10" t="n"/>
      <c r="E59" s="7" t="n"/>
    </row>
    <row r="60">
      <c r="A60" s="7" t="n"/>
      <c r="B60" s="8" t="n"/>
      <c r="C60" s="9" t="n"/>
      <c r="D60" s="10" t="n"/>
      <c r="E60" s="7" t="n"/>
    </row>
    <row r="61">
      <c r="A61" s="7" t="n"/>
      <c r="B61" s="8" t="n"/>
      <c r="C61" s="9" t="n"/>
      <c r="D61" s="10" t="n"/>
      <c r="E61" s="7" t="n"/>
    </row>
    <row r="62">
      <c r="A62" s="7" t="n"/>
      <c r="B62" s="8" t="n"/>
      <c r="C62" s="9" t="n"/>
      <c r="D62" s="10" t="n"/>
      <c r="E62" s="7" t="n"/>
    </row>
    <row r="63">
      <c r="A63" s="7" t="n"/>
      <c r="B63" s="8" t="n"/>
      <c r="C63" s="9" t="n"/>
      <c r="D63" s="10" t="n"/>
      <c r="E63" s="7" t="n"/>
    </row>
    <row r="64">
      <c r="A64" s="7" t="n"/>
      <c r="B64" s="8" t="n"/>
      <c r="C64" s="9" t="n"/>
      <c r="D64" s="10" t="n"/>
      <c r="E64" s="7" t="n"/>
    </row>
    <row r="65">
      <c r="A65" s="7" t="n"/>
      <c r="B65" s="8" t="n"/>
      <c r="C65" s="9" t="n"/>
      <c r="D65" s="10" t="n"/>
      <c r="E65" s="7" t="n"/>
    </row>
    <row r="66">
      <c r="A66" s="7" t="n"/>
      <c r="B66" s="8" t="n"/>
      <c r="C66" s="9" t="n"/>
      <c r="D66" s="10" t="n"/>
      <c r="E66" s="7" t="n"/>
    </row>
    <row r="67">
      <c r="A67" s="7" t="n"/>
      <c r="B67" s="8" t="n"/>
      <c r="C67" s="9" t="n"/>
      <c r="D67" s="10" t="n"/>
      <c r="E67" s="7" t="n"/>
    </row>
    <row r="68">
      <c r="A68" s="7" t="n"/>
      <c r="B68" s="8" t="n"/>
      <c r="C68" s="9" t="n"/>
      <c r="D68" s="10" t="n"/>
      <c r="E68" s="7" t="n"/>
    </row>
    <row r="69">
      <c r="A69" s="7" t="n"/>
      <c r="B69" s="8" t="n"/>
      <c r="C69" s="9" t="n"/>
      <c r="D69" s="10" t="n"/>
      <c r="E69" s="7" t="n"/>
    </row>
    <row r="70">
      <c r="A70" s="7" t="n"/>
      <c r="B70" s="8" t="n"/>
      <c r="C70" s="9" t="n"/>
      <c r="D70" s="10" t="n"/>
      <c r="E70" s="7" t="n"/>
    </row>
    <row r="71">
      <c r="A71" s="7" t="n"/>
      <c r="B71" s="8" t="n"/>
      <c r="C71" s="9" t="n"/>
      <c r="D71" s="10" t="n"/>
      <c r="E71" s="7" t="n"/>
    </row>
    <row r="72">
      <c r="A72" s="7" t="n"/>
      <c r="B72" s="8" t="n"/>
      <c r="C72" s="9" t="n"/>
      <c r="D72" s="10" t="n"/>
      <c r="E72" s="7" t="n"/>
    </row>
    <row r="73">
      <c r="A73" s="7" t="n"/>
      <c r="B73" s="8" t="n"/>
      <c r="C73" s="9" t="n"/>
      <c r="D73" s="10" t="n"/>
      <c r="E73" s="7" t="n"/>
    </row>
    <row r="74">
      <c r="A74" s="7" t="n"/>
      <c r="B74" s="8" t="n"/>
      <c r="C74" s="9" t="n"/>
      <c r="D74" s="10" t="n"/>
      <c r="E74" s="7" t="n"/>
    </row>
    <row r="75">
      <c r="A75" s="7" t="n"/>
      <c r="B75" s="8" t="n"/>
      <c r="C75" s="9" t="n"/>
      <c r="D75" s="10" t="n"/>
      <c r="E75" s="7" t="n"/>
    </row>
    <row r="76">
      <c r="A76" s="7" t="n"/>
      <c r="B76" s="8" t="n"/>
      <c r="C76" s="9" t="n"/>
      <c r="D76" s="10" t="n"/>
      <c r="E76" s="7" t="n"/>
    </row>
    <row r="77">
      <c r="A77" s="7" t="n"/>
      <c r="B77" s="8" t="n"/>
      <c r="C77" s="9" t="n"/>
      <c r="D77" s="10" t="n"/>
      <c r="E77" s="7" t="n"/>
    </row>
    <row r="78">
      <c r="A78" s="7" t="n"/>
      <c r="B78" s="8" t="n"/>
      <c r="C78" s="9" t="n"/>
      <c r="D78" s="10" t="n"/>
      <c r="E78" s="7" t="n"/>
    </row>
    <row r="79">
      <c r="A79" s="7" t="n"/>
      <c r="B79" s="8" t="n"/>
      <c r="C79" s="9" t="n"/>
      <c r="D79" s="10" t="n"/>
      <c r="E79" s="7" t="n"/>
    </row>
    <row r="80">
      <c r="A80" s="7" t="n"/>
      <c r="B80" s="8" t="n"/>
      <c r="C80" s="9" t="n"/>
      <c r="D80" s="10" t="n"/>
      <c r="E80" s="7" t="n"/>
    </row>
    <row r="81">
      <c r="A81" s="7" t="n"/>
      <c r="B81" s="8" t="n"/>
      <c r="C81" s="9" t="n"/>
      <c r="D81" s="10" t="n"/>
      <c r="E81" s="7" t="n"/>
    </row>
    <row r="82">
      <c r="A82" s="7" t="n"/>
      <c r="B82" s="8" t="n"/>
      <c r="C82" s="9" t="n"/>
      <c r="D82" s="10" t="n"/>
      <c r="E82" s="7" t="n"/>
    </row>
    <row r="83">
      <c r="A83" s="7" t="n"/>
      <c r="B83" s="8" t="n"/>
      <c r="C83" s="9" t="n"/>
      <c r="D83" s="10" t="n"/>
      <c r="E83" s="7" t="n"/>
    </row>
    <row r="84">
      <c r="A84" s="7" t="n"/>
      <c r="B84" s="8" t="n"/>
      <c r="C84" s="9" t="n"/>
      <c r="D84" s="10" t="n"/>
      <c r="E84" s="7" t="n"/>
    </row>
    <row r="85">
      <c r="A85" s="7" t="n"/>
      <c r="B85" s="8" t="n"/>
      <c r="C85" s="9" t="n"/>
      <c r="D85" s="10" t="n"/>
      <c r="E85" s="7" t="n"/>
    </row>
    <row r="86">
      <c r="A86" s="7" t="n"/>
      <c r="B86" s="8" t="n"/>
      <c r="C86" s="9" t="n"/>
      <c r="D86" s="10" t="n"/>
      <c r="E86" s="7" t="n"/>
    </row>
    <row r="87">
      <c r="A87" s="7" t="n"/>
      <c r="B87" s="8" t="n"/>
      <c r="C87" s="9" t="n"/>
      <c r="D87" s="10" t="n"/>
      <c r="E87" s="7" t="n"/>
    </row>
    <row r="88">
      <c r="A88" s="7" t="n"/>
      <c r="B88" s="8" t="n"/>
      <c r="C88" s="9" t="n"/>
      <c r="D88" s="10" t="n"/>
      <c r="E88" s="7" t="n"/>
    </row>
    <row r="89">
      <c r="A89" s="7" t="n"/>
      <c r="B89" s="8" t="n"/>
      <c r="C89" s="9" t="n"/>
      <c r="D89" s="10" t="n"/>
      <c r="E89" s="7" t="n"/>
    </row>
    <row r="90">
      <c r="A90" s="7" t="n"/>
      <c r="B90" s="8" t="n"/>
      <c r="C90" s="9" t="n"/>
      <c r="D90" s="10" t="n"/>
      <c r="E90" s="7" t="n"/>
    </row>
    <row r="91">
      <c r="A91" s="7" t="n"/>
      <c r="B91" s="8" t="n"/>
      <c r="C91" s="9" t="n"/>
      <c r="D91" s="10" t="n"/>
      <c r="E91" s="7" t="n"/>
    </row>
    <row r="92">
      <c r="A92" s="7" t="n"/>
      <c r="B92" s="8" t="n"/>
      <c r="C92" s="9" t="n"/>
      <c r="D92" s="10" t="n"/>
      <c r="E92" s="7" t="n"/>
    </row>
    <row r="93">
      <c r="A93" s="7" t="n"/>
      <c r="B93" s="8" t="n"/>
      <c r="C93" s="9" t="n"/>
      <c r="D93" s="10" t="n"/>
      <c r="E93" s="7" t="n"/>
    </row>
    <row r="94">
      <c r="A94" s="7" t="n"/>
      <c r="B94" s="8" t="n"/>
      <c r="C94" s="9" t="n"/>
      <c r="D94" s="10" t="n"/>
      <c r="E94" s="7" t="n"/>
    </row>
    <row r="95">
      <c r="A95" s="7" t="n"/>
      <c r="B95" s="8" t="n"/>
      <c r="C95" s="9" t="n"/>
      <c r="D95" s="10" t="n"/>
      <c r="E95" s="7" t="n"/>
    </row>
    <row r="96">
      <c r="A96" s="7" t="n"/>
      <c r="B96" s="8" t="n"/>
      <c r="C96" s="9" t="n"/>
      <c r="D96" s="10" t="n"/>
      <c r="E96" s="7" t="n"/>
    </row>
    <row r="97">
      <c r="A97" s="7" t="n"/>
      <c r="B97" s="8" t="n"/>
      <c r="C97" s="9" t="n"/>
      <c r="D97" s="10" t="n"/>
      <c r="E97" s="7" t="n"/>
    </row>
    <row r="98">
      <c r="A98" s="7" t="n"/>
      <c r="B98" s="8" t="n"/>
      <c r="C98" s="9" t="n"/>
      <c r="D98" s="10" t="n"/>
      <c r="E98" s="7" t="n"/>
    </row>
    <row r="99">
      <c r="A99" s="7" t="n"/>
      <c r="B99" s="8" t="n"/>
      <c r="C99" s="9" t="n"/>
      <c r="D99" s="10" t="n"/>
      <c r="E99" s="7" t="n"/>
    </row>
    <row r="100">
      <c r="A100" s="7" t="n"/>
      <c r="B100" s="8" t="n"/>
      <c r="C100" s="9" t="n"/>
      <c r="D100" s="10" t="n"/>
      <c r="E100" s="7" t="n"/>
    </row>
    <row r="101">
      <c r="A101" s="7" t="n"/>
      <c r="B101" s="8" t="n"/>
      <c r="C101" s="9" t="n"/>
      <c r="D101" s="10" t="n"/>
      <c r="E101" s="7" t="n"/>
    </row>
    <row r="102">
      <c r="A102" s="7" t="n"/>
      <c r="B102" s="8" t="n"/>
      <c r="C102" s="9" t="n"/>
      <c r="D102" s="10" t="n"/>
      <c r="E102" s="7" t="n"/>
    </row>
    <row r="103">
      <c r="A103" s="7" t="n"/>
      <c r="B103" s="8" t="n"/>
      <c r="C103" s="9" t="n"/>
      <c r="D103" s="10" t="n"/>
      <c r="E103" s="7" t="n"/>
    </row>
    <row r="104">
      <c r="A104" s="7" t="n"/>
      <c r="B104" s="8" t="n"/>
      <c r="C104" s="9" t="n"/>
      <c r="D104" s="10" t="n"/>
      <c r="E104" s="7" t="n"/>
    </row>
    <row r="105">
      <c r="A105" s="7" t="n"/>
      <c r="B105" s="8" t="n"/>
      <c r="C105" s="9" t="n"/>
      <c r="D105" s="10" t="n"/>
      <c r="E105" s="7" t="n"/>
    </row>
    <row r="106">
      <c r="A106" s="7" t="n"/>
      <c r="B106" s="8" t="n"/>
      <c r="C106" s="9" t="n"/>
      <c r="D106" s="10" t="n"/>
      <c r="E106" s="7" t="n"/>
    </row>
    <row r="107">
      <c r="A107" s="7" t="n"/>
      <c r="B107" s="8" t="n"/>
      <c r="C107" s="9" t="n"/>
      <c r="D107" s="10" t="n"/>
      <c r="E107" s="7" t="n"/>
    </row>
    <row r="108">
      <c r="A108" s="7" t="n"/>
      <c r="B108" s="8" t="n"/>
      <c r="C108" s="9" t="n"/>
      <c r="D108" s="10" t="n"/>
      <c r="E108" s="7" t="n"/>
    </row>
    <row r="109">
      <c r="A109" s="7" t="n"/>
      <c r="B109" s="8" t="n"/>
      <c r="C109" s="9" t="n"/>
      <c r="D109" s="10" t="n"/>
      <c r="E109" s="7" t="n"/>
    </row>
    <row r="110">
      <c r="A110" s="7" t="n"/>
      <c r="B110" s="8" t="n"/>
      <c r="C110" s="9" t="n"/>
      <c r="D110" s="10" t="n"/>
      <c r="E110" s="7" t="n"/>
    </row>
    <row r="111">
      <c r="A111" s="7" t="n"/>
      <c r="B111" s="8" t="n"/>
      <c r="C111" s="9" t="n"/>
      <c r="D111" s="10" t="n"/>
      <c r="E111" s="7" t="n"/>
    </row>
    <row r="112">
      <c r="A112" s="7" t="n"/>
      <c r="B112" s="8" t="n"/>
      <c r="C112" s="9" t="n"/>
      <c r="D112" s="10" t="n"/>
      <c r="E112" s="7" t="n"/>
    </row>
    <row r="113">
      <c r="A113" s="7" t="n"/>
      <c r="B113" s="8" t="n"/>
      <c r="C113" s="9" t="n"/>
      <c r="D113" s="10" t="n"/>
      <c r="E113" s="7" t="n"/>
    </row>
    <row r="114">
      <c r="A114" s="7" t="n"/>
      <c r="B114" s="8" t="n"/>
      <c r="C114" s="9" t="n"/>
      <c r="D114" s="10" t="n"/>
      <c r="E114" s="7" t="n"/>
    </row>
    <row r="115">
      <c r="A115" s="7" t="n"/>
      <c r="B115" s="8" t="n"/>
      <c r="C115" s="9" t="n"/>
      <c r="D115" s="10" t="n"/>
      <c r="E115" s="7" t="n"/>
    </row>
    <row r="116">
      <c r="A116" s="7" t="n"/>
      <c r="B116" s="8" t="n"/>
      <c r="C116" s="9" t="n"/>
      <c r="D116" s="10" t="n"/>
      <c r="E116" s="7" t="n"/>
    </row>
    <row r="117">
      <c r="A117" s="7" t="n"/>
      <c r="B117" s="8" t="n"/>
      <c r="C117" s="9" t="n"/>
      <c r="D117" s="10" t="n"/>
      <c r="E117" s="7" t="n"/>
    </row>
    <row r="118">
      <c r="A118" s="7" t="n"/>
      <c r="B118" s="8" t="n"/>
      <c r="C118" s="9" t="n"/>
      <c r="D118" s="10" t="n"/>
      <c r="E118" s="7" t="n"/>
    </row>
    <row r="119">
      <c r="A119" s="7" t="n"/>
      <c r="B119" s="8" t="n"/>
      <c r="C119" s="9" t="n"/>
      <c r="D119" s="10" t="n"/>
      <c r="E119" s="7" t="n"/>
    </row>
    <row r="120">
      <c r="A120" s="7" t="n"/>
      <c r="B120" s="8" t="n"/>
      <c r="C120" s="9" t="n"/>
      <c r="D120" s="10" t="n"/>
      <c r="E120" s="7" t="n"/>
    </row>
    <row r="121">
      <c r="A121" s="7" t="n"/>
      <c r="B121" s="8" t="n"/>
      <c r="C121" s="9" t="n"/>
      <c r="D121" s="10" t="n"/>
      <c r="E121" s="7" t="n"/>
    </row>
    <row r="122">
      <c r="A122" s="7" t="n"/>
      <c r="B122" s="8" t="n"/>
      <c r="C122" s="9" t="n"/>
      <c r="D122" s="10" t="n"/>
      <c r="E122" s="7" t="n"/>
    </row>
    <row r="123">
      <c r="A123" s="7" t="n"/>
      <c r="B123" s="8" t="n"/>
      <c r="C123" s="9" t="n"/>
      <c r="D123" s="10" t="n"/>
      <c r="E123" s="7" t="n"/>
    </row>
    <row r="124">
      <c r="A124" s="7" t="n"/>
      <c r="B124" s="8" t="n"/>
      <c r="C124" s="9" t="n"/>
      <c r="D124" s="10" t="n"/>
      <c r="E124" s="7" t="n"/>
    </row>
    <row r="125">
      <c r="A125" s="7" t="n"/>
      <c r="B125" s="8" t="n"/>
      <c r="C125" s="9" t="n"/>
      <c r="D125" s="10" t="n"/>
      <c r="E125" s="7" t="n"/>
    </row>
    <row r="126">
      <c r="A126" s="7" t="n"/>
      <c r="B126" s="8" t="n"/>
      <c r="C126" s="9" t="n"/>
      <c r="D126" s="10" t="n"/>
      <c r="E126" s="7" t="n"/>
    </row>
    <row r="127">
      <c r="A127" s="7" t="n"/>
      <c r="B127" s="8" t="n"/>
      <c r="C127" s="9" t="n"/>
      <c r="D127" s="10" t="n"/>
      <c r="E127" s="7" t="n"/>
    </row>
    <row r="128">
      <c r="A128" s="7" t="n"/>
      <c r="B128" s="8" t="n"/>
      <c r="C128" s="9" t="n"/>
      <c r="D128" s="10" t="n"/>
      <c r="E128" s="7" t="n"/>
    </row>
    <row r="129">
      <c r="A129" s="7" t="n"/>
      <c r="B129" s="8" t="n"/>
      <c r="C129" s="9" t="n"/>
      <c r="D129" s="10" t="n"/>
      <c r="E129" s="7" t="n"/>
    </row>
    <row r="130">
      <c r="A130" s="7" t="n"/>
      <c r="B130" s="8" t="n"/>
      <c r="C130" s="9" t="n"/>
      <c r="D130" s="10" t="n"/>
      <c r="E130" s="7" t="n"/>
    </row>
    <row r="131">
      <c r="A131" s="7" t="n"/>
      <c r="B131" s="8" t="n"/>
      <c r="C131" s="9" t="n"/>
      <c r="D131" s="10" t="n"/>
      <c r="E131" s="7" t="n"/>
    </row>
    <row r="132">
      <c r="A132" s="7" t="n"/>
      <c r="B132" s="8" t="n"/>
      <c r="C132" s="9" t="n"/>
      <c r="D132" s="10" t="n"/>
      <c r="E132" s="7" t="n"/>
    </row>
    <row r="133">
      <c r="A133" s="7" t="n"/>
      <c r="B133" s="8" t="n"/>
      <c r="C133" s="9" t="n"/>
      <c r="D133" s="10" t="n"/>
      <c r="E133" s="7" t="n"/>
    </row>
    <row r="134">
      <c r="A134" s="7" t="n"/>
      <c r="B134" s="8" t="n"/>
      <c r="C134" s="9" t="n"/>
      <c r="D134" s="10" t="n"/>
      <c r="E134" s="7" t="n"/>
    </row>
    <row r="135">
      <c r="A135" s="7" t="n"/>
      <c r="B135" s="8" t="n"/>
      <c r="C135" s="9" t="n"/>
      <c r="D135" s="10" t="n"/>
      <c r="E135" s="7" t="n"/>
    </row>
    <row r="136">
      <c r="A136" s="7" t="n"/>
      <c r="B136" s="8" t="n"/>
      <c r="C136" s="9" t="n"/>
      <c r="D136" s="10" t="n"/>
      <c r="E136" s="7" t="n"/>
    </row>
    <row r="137">
      <c r="A137" s="7" t="n"/>
      <c r="B137" s="8" t="n"/>
      <c r="C137" s="9" t="n"/>
      <c r="D137" s="10" t="n"/>
      <c r="E137" s="7" t="n"/>
    </row>
    <row r="138">
      <c r="A138" s="7" t="n"/>
      <c r="B138" s="8" t="n"/>
      <c r="C138" s="9" t="n"/>
      <c r="D138" s="10" t="n"/>
      <c r="E138" s="7" t="n"/>
    </row>
    <row r="139">
      <c r="A139" s="7" t="n"/>
      <c r="B139" s="8" t="n"/>
      <c r="C139" s="9" t="n"/>
      <c r="D139" s="10" t="n"/>
      <c r="E139" s="7" t="n"/>
    </row>
    <row r="140">
      <c r="A140" s="7" t="n"/>
      <c r="B140" s="8" t="n"/>
      <c r="C140" s="9" t="n"/>
      <c r="D140" s="10" t="n"/>
      <c r="E140" s="7" t="n"/>
    </row>
    <row r="141">
      <c r="A141" s="7" t="n"/>
      <c r="B141" s="8" t="n"/>
      <c r="C141" s="9" t="n"/>
      <c r="D141" s="10" t="n"/>
      <c r="E141" s="7" t="n"/>
    </row>
    <row r="142">
      <c r="A142" s="7" t="n"/>
      <c r="B142" s="8" t="n"/>
      <c r="C142" s="9" t="n"/>
      <c r="D142" s="10" t="n"/>
      <c r="E142" s="7" t="n"/>
    </row>
    <row r="143">
      <c r="A143" s="7" t="n"/>
      <c r="B143" s="8" t="n"/>
      <c r="C143" s="9" t="n"/>
      <c r="D143" s="10" t="n"/>
      <c r="E143" s="7" t="n"/>
    </row>
    <row r="144">
      <c r="A144" s="7" t="n"/>
      <c r="B144" s="8" t="n"/>
      <c r="C144" s="9" t="n"/>
      <c r="D144" s="10" t="n"/>
      <c r="E144" s="7" t="n"/>
    </row>
    <row r="145">
      <c r="A145" s="7" t="n"/>
      <c r="B145" s="8" t="n"/>
      <c r="C145" s="9" t="n"/>
      <c r="D145" s="10" t="n"/>
      <c r="E145" s="7" t="n"/>
    </row>
    <row r="146">
      <c r="A146" s="7" t="n"/>
      <c r="B146" s="8" t="n"/>
      <c r="C146" s="9" t="n"/>
      <c r="D146" s="10" t="n"/>
      <c r="E146" s="7" t="n"/>
    </row>
    <row r="147">
      <c r="A147" s="7" t="n"/>
      <c r="B147" s="8" t="n"/>
      <c r="C147" s="9" t="n"/>
      <c r="D147" s="10" t="n"/>
      <c r="E147" s="7" t="n"/>
    </row>
    <row r="148">
      <c r="A148" s="7" t="n"/>
      <c r="B148" s="8" t="n"/>
      <c r="C148" s="9" t="n"/>
      <c r="D148" s="10" t="n"/>
      <c r="E148" s="7" t="n"/>
    </row>
    <row r="149">
      <c r="A149" s="7" t="n"/>
      <c r="B149" s="8" t="n"/>
      <c r="C149" s="9" t="n"/>
      <c r="D149" s="10" t="n"/>
      <c r="E149" s="7" t="n"/>
    </row>
    <row r="150">
      <c r="A150" s="7" t="n"/>
      <c r="B150" s="8" t="n"/>
      <c r="C150" s="9" t="n"/>
      <c r="D150" s="10" t="n"/>
      <c r="E150" s="7" t="n"/>
    </row>
    <row r="151">
      <c r="A151" s="7" t="n"/>
      <c r="B151" s="8" t="n"/>
      <c r="C151" s="9" t="n"/>
      <c r="D151" s="10" t="n"/>
      <c r="E151" s="7" t="n"/>
    </row>
    <row r="152">
      <c r="A152" s="7" t="n"/>
      <c r="B152" s="8" t="n"/>
      <c r="C152" s="9" t="n"/>
      <c r="D152" s="10" t="n"/>
      <c r="E152" s="7" t="n"/>
    </row>
    <row r="153">
      <c r="A153" s="7" t="n"/>
      <c r="B153" s="8" t="n"/>
      <c r="C153" s="9" t="n"/>
      <c r="D153" s="10" t="n"/>
      <c r="E153" s="7" t="n"/>
    </row>
    <row r="154">
      <c r="A154" s="7" t="n"/>
      <c r="B154" s="8" t="n"/>
      <c r="C154" s="9" t="n"/>
      <c r="D154" s="10" t="n"/>
      <c r="E154" s="7" t="n"/>
    </row>
    <row r="155">
      <c r="A155" s="7" t="n"/>
      <c r="B155" s="8" t="n"/>
      <c r="C155" s="9" t="n"/>
      <c r="D155" s="10" t="n"/>
      <c r="E155" s="7" t="n"/>
    </row>
    <row r="156">
      <c r="A156" s="7" t="n"/>
      <c r="B156" s="8" t="n"/>
      <c r="C156" s="9" t="n"/>
      <c r="D156" s="10" t="n"/>
      <c r="E156" s="7" t="n"/>
    </row>
    <row r="157">
      <c r="A157" s="7" t="n"/>
      <c r="B157" s="8" t="n"/>
      <c r="C157" s="9" t="n"/>
      <c r="D157" s="10" t="n"/>
      <c r="E157" s="7" t="n"/>
    </row>
    <row r="158">
      <c r="A158" s="7" t="n"/>
      <c r="B158" s="8" t="n"/>
      <c r="C158" s="9" t="n"/>
      <c r="D158" s="10" t="n"/>
      <c r="E158" s="7" t="n"/>
    </row>
    <row r="159">
      <c r="A159" s="7" t="n"/>
      <c r="B159" s="8" t="n"/>
      <c r="C159" s="9" t="n"/>
      <c r="D159" s="10" t="n"/>
      <c r="E159" s="7" t="n"/>
    </row>
    <row r="160">
      <c r="A160" s="7" t="n"/>
      <c r="B160" s="8" t="n"/>
      <c r="C160" s="9" t="n"/>
      <c r="D160" s="10" t="n"/>
      <c r="E160" s="7" t="n"/>
    </row>
    <row r="161">
      <c r="A161" s="7" t="n"/>
      <c r="B161" s="8" t="n"/>
      <c r="C161" s="9" t="n"/>
      <c r="D161" s="10" t="n"/>
      <c r="E161" s="7" t="n"/>
    </row>
    <row r="162">
      <c r="A162" s="7" t="n"/>
      <c r="B162" s="8" t="n"/>
      <c r="C162" s="9" t="n"/>
      <c r="D162" s="10" t="n"/>
      <c r="E162" s="7" t="n"/>
    </row>
    <row r="163">
      <c r="A163" s="7" t="n"/>
      <c r="B163" s="8" t="n"/>
      <c r="C163" s="9" t="n"/>
      <c r="D163" s="10" t="n"/>
      <c r="E163" s="7" t="n"/>
    </row>
    <row r="164">
      <c r="A164" s="7" t="n"/>
      <c r="B164" s="8" t="n"/>
      <c r="C164" s="9" t="n"/>
      <c r="D164" s="10" t="n"/>
      <c r="E164" s="7" t="n"/>
    </row>
    <row r="165">
      <c r="A165" s="7" t="n"/>
      <c r="B165" s="8" t="n"/>
      <c r="C165" s="9" t="n"/>
      <c r="D165" s="10" t="n"/>
      <c r="E165" s="7" t="n"/>
    </row>
    <row r="166">
      <c r="A166" s="7" t="n"/>
      <c r="B166" s="8" t="n"/>
      <c r="C166" s="9" t="n"/>
      <c r="D166" s="10" t="n"/>
      <c r="E166" s="7" t="n"/>
    </row>
    <row r="167">
      <c r="A167" s="7" t="n"/>
      <c r="B167" s="8" t="n"/>
      <c r="C167" s="9" t="n"/>
      <c r="D167" s="10" t="n"/>
      <c r="E167" s="7" t="n"/>
    </row>
    <row r="168">
      <c r="A168" s="7" t="n"/>
      <c r="B168" s="8" t="n"/>
      <c r="C168" s="9" t="n"/>
      <c r="D168" s="10" t="n"/>
      <c r="E168" s="7" t="n"/>
    </row>
    <row r="169">
      <c r="A169" s="7" t="n"/>
      <c r="B169" s="8" t="n"/>
      <c r="C169" s="9" t="n"/>
      <c r="D169" s="10" t="n"/>
      <c r="E169" s="7" t="n"/>
    </row>
    <row r="170">
      <c r="A170" s="7" t="n"/>
      <c r="B170" s="8" t="n"/>
      <c r="C170" s="9" t="n"/>
      <c r="D170" s="10" t="n"/>
      <c r="E170" s="7" t="n"/>
    </row>
    <row r="171">
      <c r="A171" s="7" t="n"/>
      <c r="B171" s="8" t="n"/>
      <c r="C171" s="9" t="n"/>
      <c r="D171" s="10" t="n"/>
      <c r="E171" s="7" t="n"/>
    </row>
    <row r="172">
      <c r="A172" s="7" t="n"/>
      <c r="B172" s="8" t="n"/>
      <c r="C172" s="9" t="n"/>
      <c r="D172" s="10" t="n"/>
      <c r="E172" s="7" t="n"/>
    </row>
    <row r="173">
      <c r="A173" s="7" t="n"/>
      <c r="B173" s="8" t="n"/>
      <c r="C173" s="9" t="n"/>
      <c r="D173" s="10" t="n"/>
      <c r="E173" s="7" t="n"/>
    </row>
    <row r="174">
      <c r="A174" s="7" t="n"/>
      <c r="B174" s="8" t="n"/>
      <c r="C174" s="9" t="n"/>
      <c r="D174" s="10" t="n"/>
      <c r="E174" s="7" t="n"/>
    </row>
    <row r="175">
      <c r="A175" s="7" t="n"/>
      <c r="B175" s="8" t="n"/>
      <c r="C175" s="9" t="n"/>
      <c r="D175" s="10" t="n"/>
      <c r="E175" s="7" t="n"/>
    </row>
    <row r="176">
      <c r="A176" s="7" t="n"/>
      <c r="B176" s="8" t="n"/>
      <c r="C176" s="9" t="n"/>
      <c r="D176" s="10" t="n"/>
      <c r="E176" s="7" t="n"/>
    </row>
    <row r="177">
      <c r="A177" s="7" t="n"/>
      <c r="B177" s="8" t="n"/>
      <c r="C177" s="9" t="n"/>
      <c r="D177" s="10" t="n"/>
      <c r="E177" s="7" t="n"/>
    </row>
    <row r="178">
      <c r="A178" s="7" t="n"/>
      <c r="B178" s="8" t="n"/>
      <c r="C178" s="9" t="n"/>
      <c r="D178" s="10" t="n"/>
      <c r="E178" s="7" t="n"/>
    </row>
    <row r="179">
      <c r="A179" s="7" t="n"/>
      <c r="B179" s="8" t="n"/>
      <c r="C179" s="9" t="n"/>
      <c r="D179" s="10" t="n"/>
      <c r="E179" s="7" t="n"/>
    </row>
    <row r="180">
      <c r="A180" s="7" t="n"/>
      <c r="B180" s="8" t="n"/>
      <c r="C180" s="9" t="n"/>
      <c r="D180" s="10" t="n"/>
      <c r="E180" s="7" t="n"/>
    </row>
    <row r="181">
      <c r="A181" s="7" t="n"/>
      <c r="B181" s="8" t="n"/>
      <c r="C181" s="9" t="n"/>
      <c r="D181" s="10" t="n"/>
      <c r="E181" s="7" t="n"/>
    </row>
    <row r="182">
      <c r="A182" s="7" t="n"/>
      <c r="B182" s="8" t="n"/>
      <c r="C182" s="9" t="n"/>
      <c r="D182" s="10" t="n"/>
      <c r="E182" s="7" t="n"/>
    </row>
    <row r="183">
      <c r="A183" s="7" t="n"/>
      <c r="B183" s="8" t="n"/>
      <c r="C183" s="9" t="n"/>
      <c r="D183" s="10" t="n"/>
      <c r="E183" s="7" t="n"/>
    </row>
    <row r="184">
      <c r="A184" s="7" t="n"/>
      <c r="B184" s="8" t="n"/>
      <c r="C184" s="9" t="n"/>
      <c r="D184" s="10" t="n"/>
      <c r="E184" s="7" t="n"/>
    </row>
    <row r="185">
      <c r="A185" s="7" t="n"/>
      <c r="B185" s="8" t="n"/>
      <c r="C185" s="9" t="n"/>
      <c r="D185" s="10" t="n"/>
      <c r="E185" s="7" t="n"/>
    </row>
    <row r="186">
      <c r="A186" s="7" t="n"/>
      <c r="B186" s="8" t="n"/>
      <c r="C186" s="9" t="n"/>
      <c r="D186" s="10" t="n"/>
      <c r="E186" s="7" t="n"/>
    </row>
    <row r="187">
      <c r="A187" s="7" t="n"/>
      <c r="B187" s="8" t="n"/>
      <c r="C187" s="9" t="n"/>
      <c r="D187" s="10" t="n"/>
      <c r="E187" s="7" t="n"/>
    </row>
    <row r="188">
      <c r="A188" s="7" t="n"/>
      <c r="B188" s="8" t="n"/>
      <c r="C188" s="9" t="n"/>
      <c r="D188" s="10" t="n"/>
      <c r="E188" s="7" t="n"/>
    </row>
    <row r="189">
      <c r="A189" s="7" t="n"/>
      <c r="B189" s="8" t="n"/>
      <c r="C189" s="9" t="n"/>
      <c r="D189" s="10" t="n"/>
      <c r="E189" s="7" t="n"/>
    </row>
    <row r="190">
      <c r="A190" s="7" t="n"/>
      <c r="B190" s="8" t="n"/>
      <c r="C190" s="9" t="n"/>
      <c r="D190" s="10" t="n"/>
      <c r="E190" s="7" t="n"/>
    </row>
    <row r="191">
      <c r="A191" s="7" t="n"/>
      <c r="B191" s="8" t="n"/>
      <c r="C191" s="9" t="n"/>
      <c r="D191" s="10" t="n"/>
      <c r="E191" s="7" t="n"/>
    </row>
    <row r="192">
      <c r="A192" s="7" t="n"/>
      <c r="B192" s="8" t="n"/>
      <c r="C192" s="9" t="n"/>
      <c r="D192" s="10" t="n"/>
      <c r="E192" s="7" t="n"/>
    </row>
    <row r="193">
      <c r="A193" s="7" t="n"/>
      <c r="B193" s="8" t="n"/>
      <c r="C193" s="9" t="n"/>
      <c r="D193" s="10" t="n"/>
      <c r="E193" s="7" t="n"/>
    </row>
    <row r="194">
      <c r="A194" s="7" t="n"/>
      <c r="B194" s="8" t="n"/>
      <c r="C194" s="9" t="n"/>
      <c r="D194" s="10" t="n"/>
      <c r="E194" s="7" t="n"/>
    </row>
    <row r="195">
      <c r="A195" s="7" t="n"/>
      <c r="B195" s="8" t="n"/>
      <c r="C195" s="9" t="n"/>
      <c r="D195" s="10" t="n"/>
      <c r="E195" s="7" t="n"/>
    </row>
    <row r="196">
      <c r="A196" s="7" t="n"/>
      <c r="B196" s="8" t="n"/>
      <c r="C196" s="9" t="n"/>
      <c r="D196" s="10" t="n"/>
      <c r="E196" s="7" t="n"/>
    </row>
    <row r="197">
      <c r="A197" s="7" t="n"/>
      <c r="B197" s="8" t="n"/>
      <c r="C197" s="9" t="n"/>
      <c r="D197" s="10" t="n"/>
      <c r="E197" s="7" t="n"/>
    </row>
    <row r="198">
      <c r="A198" s="7" t="n"/>
      <c r="B198" s="8" t="n"/>
      <c r="C198" s="9" t="n"/>
      <c r="D198" s="10" t="n"/>
      <c r="E198" s="7" t="n"/>
    </row>
    <row r="199">
      <c r="A199" s="7" t="n"/>
      <c r="B199" s="8" t="n"/>
      <c r="C199" s="9" t="n"/>
      <c r="D199" s="10" t="n"/>
      <c r="E199" s="7" t="n"/>
    </row>
    <row r="200">
      <c r="A200" s="7" t="n"/>
      <c r="B200" s="8" t="n"/>
      <c r="C200" s="9" t="n"/>
      <c r="D200" s="10" t="n"/>
      <c r="E200" s="7" t="n"/>
    </row>
    <row r="201">
      <c r="A201" s="7" t="n"/>
      <c r="B201" s="8" t="n"/>
      <c r="C201" s="9" t="n"/>
      <c r="D201" s="10" t="n"/>
      <c r="E201" s="7" t="n"/>
    </row>
    <row r="202">
      <c r="A202" s="7" t="n"/>
      <c r="B202" s="8" t="n"/>
      <c r="C202" s="9" t="n"/>
      <c r="D202" s="10" t="n"/>
      <c r="E202" s="7" t="n"/>
    </row>
    <row r="203">
      <c r="A203" s="7" t="n"/>
      <c r="B203" s="8" t="n"/>
      <c r="C203" s="9" t="n"/>
      <c r="D203" s="10" t="n"/>
      <c r="E203" s="7" t="n"/>
    </row>
    <row r="204">
      <c r="A204" s="7" t="n"/>
      <c r="B204" s="8" t="n"/>
      <c r="C204" s="9" t="n"/>
      <c r="D204" s="10" t="n"/>
      <c r="E204" s="7" t="n"/>
    </row>
    <row r="205">
      <c r="A205" s="7" t="n"/>
      <c r="B205" s="8" t="n"/>
      <c r="C205" s="9" t="n"/>
      <c r="D205" s="10" t="n"/>
      <c r="E205" s="7" t="n"/>
    </row>
    <row r="206">
      <c r="A206" s="7" t="n"/>
      <c r="B206" s="8" t="n"/>
      <c r="C206" s="9" t="n"/>
      <c r="D206" s="10" t="n"/>
      <c r="E206" s="7" t="n"/>
    </row>
    <row r="207">
      <c r="A207" s="7" t="n"/>
      <c r="B207" s="8" t="n"/>
      <c r="C207" s="9" t="n"/>
      <c r="D207" s="10" t="n"/>
      <c r="E207" s="7" t="n"/>
    </row>
    <row r="208">
      <c r="A208" s="7" t="n"/>
      <c r="B208" s="8" t="n"/>
      <c r="C208" s="9" t="n"/>
      <c r="D208" s="10" t="n"/>
      <c r="E208" s="7" t="n"/>
    </row>
    <row r="209">
      <c r="A209" s="7" t="n"/>
      <c r="B209" s="8" t="n"/>
      <c r="C209" s="9" t="n"/>
      <c r="D209" s="10" t="n"/>
      <c r="E209" s="7" t="n"/>
    </row>
    <row r="210">
      <c r="A210" s="7" t="n"/>
      <c r="B210" s="8" t="n"/>
      <c r="C210" s="9" t="n"/>
      <c r="D210" s="10" t="n"/>
      <c r="E210" s="7" t="n"/>
    </row>
    <row r="211">
      <c r="A211" s="7" t="n"/>
      <c r="B211" s="8" t="n"/>
      <c r="C211" s="9" t="n"/>
      <c r="D211" s="10" t="n"/>
      <c r="E211" s="7" t="n"/>
    </row>
    <row r="212">
      <c r="A212" s="7" t="n"/>
      <c r="B212" s="8" t="n"/>
      <c r="C212" s="9" t="n"/>
      <c r="D212" s="10" t="n"/>
      <c r="E212" s="7" t="n"/>
    </row>
    <row r="213">
      <c r="A213" s="7" t="n"/>
      <c r="B213" s="8" t="n"/>
      <c r="C213" s="9" t="n"/>
      <c r="D213" s="10" t="n"/>
      <c r="E213" s="7" t="n"/>
    </row>
    <row r="214">
      <c r="A214" s="7" t="n"/>
      <c r="B214" s="8" t="n"/>
      <c r="C214" s="9" t="n"/>
      <c r="D214" s="10" t="n"/>
      <c r="E214" s="7" t="n"/>
    </row>
    <row r="215">
      <c r="A215" s="7" t="n"/>
      <c r="B215" s="8" t="n"/>
      <c r="C215" s="9" t="n"/>
      <c r="D215" s="10" t="n"/>
      <c r="E215" s="7" t="n"/>
    </row>
    <row r="216">
      <c r="A216" s="7" t="n"/>
      <c r="B216" s="8" t="n"/>
      <c r="C216" s="9" t="n"/>
      <c r="D216" s="10" t="n"/>
      <c r="E216" s="7" t="n"/>
    </row>
    <row r="217">
      <c r="A217" s="7" t="n"/>
      <c r="B217" s="8" t="n"/>
      <c r="C217" s="9" t="n"/>
      <c r="D217" s="10" t="n"/>
      <c r="E217" s="7" t="n"/>
    </row>
    <row r="218">
      <c r="A218" s="7" t="n"/>
      <c r="B218" s="8" t="n"/>
      <c r="C218" s="9" t="n"/>
      <c r="D218" s="10" t="n"/>
      <c r="E218" s="7" t="n"/>
    </row>
    <row r="219">
      <c r="A219" s="7" t="n"/>
      <c r="B219" s="8" t="n"/>
      <c r="C219" s="9" t="n"/>
      <c r="D219" s="10" t="n"/>
      <c r="E219" s="7" t="n"/>
    </row>
    <row r="220">
      <c r="A220" s="7" t="n"/>
      <c r="B220" s="8" t="n"/>
      <c r="C220" s="9" t="n"/>
      <c r="D220" s="10" t="n"/>
      <c r="E220" s="7" t="n"/>
    </row>
    <row r="221">
      <c r="A221" s="7" t="n"/>
      <c r="B221" s="8" t="n"/>
      <c r="C221" s="9" t="n"/>
      <c r="D221" s="10" t="n"/>
      <c r="E221" s="7" t="n"/>
    </row>
    <row r="222">
      <c r="A222" s="7" t="n"/>
      <c r="B222" s="8" t="n"/>
      <c r="C222" s="9" t="n"/>
      <c r="D222" s="10" t="n"/>
      <c r="E222" s="7" t="n"/>
    </row>
    <row r="223">
      <c r="A223" s="7" t="n"/>
      <c r="B223" s="8" t="n"/>
      <c r="C223" s="9" t="n"/>
      <c r="D223" s="10" t="n"/>
      <c r="E223" s="7" t="n"/>
    </row>
    <row r="224">
      <c r="A224" s="7" t="n"/>
      <c r="B224" s="8" t="n"/>
      <c r="C224" s="9" t="n"/>
      <c r="D224" s="10" t="n"/>
      <c r="E224" s="7" t="n"/>
    </row>
    <row r="225">
      <c r="A225" s="7" t="n"/>
      <c r="B225" s="8" t="n"/>
      <c r="C225" s="9" t="n"/>
      <c r="D225" s="10" t="n"/>
      <c r="E225" s="7" t="n"/>
    </row>
    <row r="226">
      <c r="A226" s="7" t="n"/>
      <c r="B226" s="8" t="n"/>
      <c r="C226" s="9" t="n"/>
      <c r="D226" s="10" t="n"/>
      <c r="E226" s="7" t="n"/>
    </row>
    <row r="227">
      <c r="A227" s="7" t="n"/>
      <c r="B227" s="8" t="n"/>
      <c r="C227" s="9" t="n"/>
      <c r="D227" s="10" t="n"/>
      <c r="E227" s="7" t="n"/>
    </row>
    <row r="228">
      <c r="A228" s="7" t="n"/>
      <c r="B228" s="8" t="n"/>
      <c r="C228" s="9" t="n"/>
      <c r="D228" s="10" t="n"/>
      <c r="E228" s="7" t="n"/>
    </row>
    <row r="229">
      <c r="A229" s="7" t="n"/>
      <c r="B229" s="8" t="n"/>
      <c r="C229" s="9" t="n"/>
      <c r="D229" s="10" t="n"/>
      <c r="E229" s="7" t="n"/>
    </row>
    <row r="230">
      <c r="A230" s="7" t="n"/>
      <c r="B230" s="8" t="n"/>
      <c r="C230" s="9" t="n"/>
      <c r="D230" s="10" t="n"/>
      <c r="E230" s="7" t="n"/>
    </row>
    <row r="231">
      <c r="A231" s="7" t="n"/>
      <c r="B231" s="8" t="n"/>
      <c r="C231" s="9" t="n"/>
      <c r="D231" s="10" t="n"/>
      <c r="E231" s="7" t="n"/>
    </row>
    <row r="232">
      <c r="A232" s="7" t="n"/>
      <c r="B232" s="8" t="n"/>
      <c r="C232" s="9" t="n"/>
      <c r="D232" s="10" t="n"/>
      <c r="E232" s="7" t="n"/>
    </row>
    <row r="233">
      <c r="A233" s="7" t="n"/>
      <c r="B233" s="8" t="n"/>
      <c r="C233" s="9" t="n"/>
      <c r="D233" s="10" t="n"/>
      <c r="E233" s="7" t="n"/>
    </row>
    <row r="234">
      <c r="A234" s="7" t="n"/>
      <c r="B234" s="8" t="n"/>
      <c r="C234" s="9" t="n"/>
      <c r="D234" s="10" t="n"/>
      <c r="E234" s="7" t="n"/>
    </row>
    <row r="235">
      <c r="A235" s="7" t="n"/>
      <c r="B235" s="8" t="n"/>
      <c r="C235" s="9" t="n"/>
      <c r="D235" s="10" t="n"/>
      <c r="E235" s="7" t="n"/>
    </row>
    <row r="236">
      <c r="A236" s="7" t="n"/>
      <c r="B236" s="8" t="n"/>
      <c r="C236" s="9" t="n"/>
      <c r="D236" s="10" t="n"/>
      <c r="E236" s="7" t="n"/>
    </row>
    <row r="237">
      <c r="A237" s="7" t="n"/>
      <c r="B237" s="8" t="n"/>
      <c r="C237" s="9" t="n"/>
      <c r="D237" s="10" t="n"/>
      <c r="E237" s="7" t="n"/>
    </row>
    <row r="238">
      <c r="A238" s="7" t="n"/>
      <c r="B238" s="8" t="n"/>
      <c r="C238" s="9" t="n"/>
      <c r="D238" s="10" t="n"/>
      <c r="E238" s="7" t="n"/>
    </row>
    <row r="239">
      <c r="A239" s="7" t="n"/>
      <c r="B239" s="8" t="n"/>
      <c r="C239" s="9" t="n"/>
      <c r="D239" s="10" t="n"/>
      <c r="E239" s="7" t="n"/>
    </row>
    <row r="240">
      <c r="A240" s="7" t="n"/>
      <c r="B240" s="8" t="n"/>
      <c r="C240" s="9" t="n"/>
      <c r="D240" s="10" t="n"/>
      <c r="E240" s="7" t="n"/>
    </row>
    <row r="241">
      <c r="A241" s="7" t="n"/>
      <c r="B241" s="8" t="n"/>
      <c r="C241" s="9" t="n"/>
      <c r="D241" s="10" t="n"/>
      <c r="E241" s="7" t="n"/>
    </row>
    <row r="242">
      <c r="A242" s="7" t="n"/>
      <c r="B242" s="8" t="n"/>
      <c r="C242" s="9" t="n"/>
      <c r="D242" s="10" t="n"/>
      <c r="E242" s="7" t="n"/>
    </row>
    <row r="243">
      <c r="A243" s="7" t="n"/>
      <c r="B243" s="8" t="n"/>
      <c r="C243" s="9" t="n"/>
      <c r="D243" s="10" t="n"/>
      <c r="E243" s="7" t="n"/>
    </row>
    <row r="244">
      <c r="A244" s="7" t="n"/>
      <c r="B244" s="8" t="n"/>
      <c r="C244" s="9" t="n"/>
      <c r="D244" s="10" t="n"/>
      <c r="E244" s="7" t="n"/>
    </row>
    <row r="245">
      <c r="A245" s="7" t="n"/>
      <c r="B245" s="8" t="n"/>
      <c r="C245" s="9" t="n"/>
      <c r="D245" s="10" t="n"/>
      <c r="E245" s="7" t="n"/>
    </row>
    <row r="246">
      <c r="A246" s="7" t="n"/>
      <c r="B246" s="8" t="n"/>
      <c r="C246" s="9" t="n"/>
      <c r="D246" s="10" t="n"/>
      <c r="E246" s="7" t="n"/>
    </row>
    <row r="247">
      <c r="A247" s="7" t="n"/>
      <c r="B247" s="8" t="n"/>
      <c r="C247" s="9" t="n"/>
      <c r="D247" s="10" t="n"/>
      <c r="E247" s="7" t="n"/>
    </row>
    <row r="248">
      <c r="A248" s="7" t="n"/>
      <c r="B248" s="8" t="n"/>
      <c r="C248" s="9" t="n"/>
      <c r="D248" s="10" t="n"/>
      <c r="E248" s="7" t="n"/>
    </row>
    <row r="249">
      <c r="A249" s="7" t="n"/>
      <c r="B249" s="8" t="n"/>
      <c r="C249" s="9" t="n"/>
      <c r="D249" s="10" t="n"/>
      <c r="E249" s="7" t="n"/>
    </row>
    <row r="250">
      <c r="A250" s="7" t="n"/>
      <c r="B250" s="8" t="n"/>
      <c r="C250" s="9" t="n"/>
      <c r="D250" s="10" t="n"/>
      <c r="E250" s="7" t="n"/>
    </row>
    <row r="251">
      <c r="A251" s="7" t="n"/>
      <c r="B251" s="8" t="n"/>
      <c r="C251" s="9" t="n"/>
      <c r="D251" s="10" t="n"/>
      <c r="E251" s="7" t="n"/>
    </row>
    <row r="252">
      <c r="A252" s="7" t="n"/>
      <c r="B252" s="8" t="n"/>
      <c r="C252" s="9" t="n"/>
      <c r="D252" s="10" t="n"/>
      <c r="E252" s="7" t="n"/>
    </row>
    <row r="253">
      <c r="A253" s="7" t="n"/>
      <c r="B253" s="8" t="n"/>
      <c r="C253" s="9" t="n"/>
      <c r="D253" s="10" t="n"/>
      <c r="E253" s="7" t="n"/>
    </row>
    <row r="254">
      <c r="A254" s="7" t="n"/>
      <c r="B254" s="8" t="n"/>
      <c r="C254" s="9" t="n"/>
      <c r="D254" s="10" t="n"/>
      <c r="E254" s="7" t="n"/>
    </row>
    <row r="255">
      <c r="A255" s="7" t="n"/>
      <c r="B255" s="8" t="n"/>
      <c r="C255" s="9" t="n"/>
      <c r="D255" s="10" t="n"/>
      <c r="E255" s="7" t="n"/>
    </row>
    <row r="256">
      <c r="A256" s="7" t="n"/>
      <c r="B256" s="8" t="n"/>
      <c r="C256" s="9" t="n"/>
      <c r="D256" s="10" t="n"/>
      <c r="E256" s="7" t="n"/>
    </row>
    <row r="257">
      <c r="A257" s="7" t="n"/>
      <c r="B257" s="8" t="n"/>
      <c r="C257" s="9" t="n"/>
      <c r="D257" s="10" t="n"/>
      <c r="E257" s="7" t="n"/>
    </row>
    <row r="258">
      <c r="A258" s="7" t="n"/>
      <c r="B258" s="8" t="n"/>
      <c r="C258" s="9" t="n"/>
      <c r="D258" s="10" t="n"/>
      <c r="E258" s="7" t="n"/>
    </row>
    <row r="259">
      <c r="A259" s="7" t="n"/>
      <c r="B259" s="8" t="n"/>
      <c r="C259" s="9" t="n"/>
      <c r="D259" s="10" t="n"/>
      <c r="E259" s="7" t="n"/>
    </row>
    <row r="260">
      <c r="A260" s="7" t="n"/>
      <c r="B260" s="8" t="n"/>
      <c r="C260" s="9" t="n"/>
      <c r="D260" s="10" t="n"/>
      <c r="E260" s="7" t="n"/>
    </row>
    <row r="261">
      <c r="A261" s="7" t="n"/>
      <c r="B261" s="8" t="n"/>
      <c r="C261" s="9" t="n"/>
      <c r="D261" s="10" t="n"/>
      <c r="E261" s="7" t="n"/>
    </row>
    <row r="262">
      <c r="A262" s="7" t="n"/>
      <c r="B262" s="8" t="n"/>
      <c r="C262" s="9" t="n"/>
      <c r="D262" s="10" t="n"/>
      <c r="E262" s="7" t="n"/>
    </row>
    <row r="263">
      <c r="A263" s="7" t="n"/>
      <c r="B263" s="8" t="n"/>
      <c r="C263" s="9" t="n"/>
      <c r="D263" s="10" t="n"/>
      <c r="E263" s="7" t="n"/>
    </row>
    <row r="264">
      <c r="A264" s="7" t="n"/>
      <c r="B264" s="8" t="n"/>
      <c r="C264" s="9" t="n"/>
      <c r="D264" s="10" t="n"/>
      <c r="E264" s="7" t="n"/>
    </row>
    <row r="265">
      <c r="A265" s="7" t="n"/>
      <c r="B265" s="8" t="n"/>
      <c r="C265" s="9" t="n"/>
      <c r="D265" s="10" t="n"/>
      <c r="E265" s="7" t="n"/>
    </row>
    <row r="266">
      <c r="A266" s="7" t="n"/>
      <c r="B266" s="8" t="n"/>
      <c r="C266" s="9" t="n"/>
      <c r="D266" s="10" t="n"/>
      <c r="E266" s="7" t="n"/>
    </row>
    <row r="267">
      <c r="A267" s="7" t="n"/>
      <c r="B267" s="8" t="n"/>
      <c r="C267" s="9" t="n"/>
      <c r="D267" s="10" t="n"/>
      <c r="E267" s="7" t="n"/>
    </row>
    <row r="268">
      <c r="A268" s="7" t="n"/>
      <c r="B268" s="8" t="n"/>
      <c r="C268" s="9" t="n"/>
      <c r="D268" s="10" t="n"/>
      <c r="E268" s="7" t="n"/>
    </row>
    <row r="269">
      <c r="A269" s="7" t="n"/>
      <c r="B269" s="8" t="n"/>
      <c r="C269" s="9" t="n"/>
      <c r="D269" s="10" t="n"/>
      <c r="E269" s="7" t="n"/>
    </row>
    <row r="270">
      <c r="A270" s="7" t="n"/>
      <c r="B270" s="8" t="n"/>
      <c r="C270" s="9" t="n"/>
      <c r="D270" s="10" t="n"/>
      <c r="E270" s="7" t="n"/>
    </row>
    <row r="271">
      <c r="A271" s="7" t="n"/>
      <c r="B271" s="8" t="n"/>
      <c r="C271" s="9" t="n"/>
      <c r="D271" s="10" t="n"/>
      <c r="E271" s="7" t="n"/>
    </row>
    <row r="272">
      <c r="A272" s="7" t="n"/>
      <c r="B272" s="8" t="n"/>
      <c r="C272" s="9" t="n"/>
      <c r="D272" s="10" t="n"/>
      <c r="E272" s="7" t="n"/>
    </row>
    <row r="273">
      <c r="A273" s="7" t="n"/>
      <c r="B273" s="8" t="n"/>
      <c r="C273" s="9" t="n"/>
      <c r="D273" s="10" t="n"/>
      <c r="E273" s="7" t="n"/>
    </row>
    <row r="274">
      <c r="A274" s="7" t="n"/>
      <c r="B274" s="8" t="n"/>
      <c r="C274" s="9" t="n"/>
      <c r="D274" s="10" t="n"/>
      <c r="E274" s="7" t="n"/>
    </row>
    <row r="275">
      <c r="A275" s="7" t="n"/>
      <c r="B275" s="8" t="n"/>
      <c r="C275" s="9" t="n"/>
      <c r="D275" s="10" t="n"/>
      <c r="E275" s="7" t="n"/>
    </row>
    <row r="276">
      <c r="A276" s="7" t="n"/>
      <c r="B276" s="8" t="n"/>
      <c r="C276" s="9" t="n"/>
      <c r="D276" s="10" t="n"/>
      <c r="E276" s="7" t="n"/>
    </row>
    <row r="277">
      <c r="A277" s="7" t="n"/>
      <c r="B277" s="8" t="n"/>
      <c r="C277" s="9" t="n"/>
      <c r="D277" s="10" t="n"/>
      <c r="E277" s="7" t="n"/>
    </row>
    <row r="278">
      <c r="A278" s="7" t="n"/>
      <c r="B278" s="8" t="n"/>
      <c r="C278" s="9" t="n"/>
      <c r="D278" s="10" t="n"/>
      <c r="E278" s="7" t="n"/>
    </row>
    <row r="279">
      <c r="A279" s="7" t="n"/>
      <c r="B279" s="8" t="n"/>
      <c r="C279" s="9" t="n"/>
      <c r="D279" s="10" t="n"/>
      <c r="E279" s="7" t="n"/>
    </row>
    <row r="280">
      <c r="A280" s="7" t="n"/>
      <c r="B280" s="8" t="n"/>
      <c r="C280" s="9" t="n"/>
      <c r="D280" s="10" t="n"/>
      <c r="E280" s="7" t="n"/>
    </row>
    <row r="281">
      <c r="A281" s="7" t="n"/>
      <c r="B281" s="8" t="n"/>
      <c r="C281" s="9" t="n"/>
      <c r="D281" s="10" t="n"/>
      <c r="E281" s="7" t="n"/>
    </row>
    <row r="282">
      <c r="A282" s="7" t="n"/>
      <c r="B282" s="8" t="n"/>
      <c r="C282" s="9" t="n"/>
      <c r="D282" s="10" t="n"/>
      <c r="E282" s="7" t="n"/>
    </row>
    <row r="283">
      <c r="A283" s="7" t="n"/>
      <c r="B283" s="8" t="n"/>
      <c r="C283" s="9" t="n"/>
      <c r="D283" s="10" t="n"/>
      <c r="E283" s="7" t="n"/>
    </row>
    <row r="284">
      <c r="A284" s="7" t="n"/>
      <c r="B284" s="8" t="n"/>
      <c r="C284" s="9" t="n"/>
      <c r="D284" s="10" t="n"/>
      <c r="E284" s="7" t="n"/>
    </row>
    <row r="285">
      <c r="A285" s="7" t="n"/>
      <c r="B285" s="8" t="n"/>
      <c r="C285" s="9" t="n"/>
      <c r="D285" s="10" t="n"/>
      <c r="E285" s="7" t="n"/>
    </row>
    <row r="286">
      <c r="A286" s="7" t="n"/>
      <c r="B286" s="8" t="n"/>
      <c r="C286" s="9" t="n"/>
      <c r="D286" s="10" t="n"/>
      <c r="E286" s="7" t="n"/>
    </row>
    <row r="287">
      <c r="A287" s="7" t="n"/>
      <c r="B287" s="8" t="n"/>
      <c r="C287" s="9" t="n"/>
      <c r="D287" s="10" t="n"/>
      <c r="E287" s="7" t="n"/>
    </row>
    <row r="288">
      <c r="A288" s="7" t="n"/>
      <c r="B288" s="8" t="n"/>
      <c r="C288" s="9" t="n"/>
      <c r="D288" s="10" t="n"/>
      <c r="E288" s="7" t="n"/>
    </row>
    <row r="289">
      <c r="A289" s="7" t="n"/>
      <c r="B289" s="8" t="n"/>
      <c r="C289" s="9" t="n"/>
      <c r="D289" s="10" t="n"/>
      <c r="E289" s="7" t="n"/>
    </row>
    <row r="290">
      <c r="A290" s="7" t="n"/>
      <c r="B290" s="8" t="n"/>
      <c r="C290" s="9" t="n"/>
      <c r="D290" s="10" t="n"/>
      <c r="E290" s="7" t="n"/>
    </row>
    <row r="291">
      <c r="A291" s="7" t="n"/>
      <c r="B291" s="8" t="n"/>
      <c r="C291" s="9" t="n"/>
      <c r="D291" s="10" t="n"/>
      <c r="E291" s="7" t="n"/>
    </row>
    <row r="292">
      <c r="A292" s="7" t="n"/>
      <c r="B292" s="8" t="n"/>
      <c r="C292" s="9" t="n"/>
      <c r="D292" s="10" t="n"/>
      <c r="E292" s="7" t="n"/>
    </row>
    <row r="293">
      <c r="A293" s="7" t="n"/>
      <c r="B293" s="8" t="n"/>
      <c r="C293" s="9" t="n"/>
      <c r="D293" s="10" t="n"/>
      <c r="E293" s="7" t="n"/>
    </row>
    <row r="294">
      <c r="A294" s="7" t="n"/>
      <c r="B294" s="8" t="n"/>
      <c r="C294" s="9" t="n"/>
      <c r="D294" s="10" t="n"/>
      <c r="E294" s="7" t="n"/>
    </row>
    <row r="295">
      <c r="A295" s="7" t="n"/>
      <c r="B295" s="8" t="n"/>
      <c r="C295" s="9" t="n"/>
      <c r="D295" s="10" t="n"/>
      <c r="E295" s="7" t="n"/>
    </row>
    <row r="296">
      <c r="A296" s="7" t="n"/>
      <c r="B296" s="8" t="n"/>
      <c r="C296" s="9" t="n"/>
      <c r="D296" s="10" t="n"/>
      <c r="E296" s="7" t="n"/>
    </row>
    <row r="297">
      <c r="A297" s="7" t="n"/>
      <c r="B297" s="8" t="n"/>
      <c r="C297" s="9" t="n"/>
      <c r="D297" s="10" t="n"/>
      <c r="E297" s="7" t="n"/>
    </row>
    <row r="298">
      <c r="A298" s="7" t="n"/>
      <c r="B298" s="8" t="n"/>
      <c r="C298" s="9" t="n"/>
      <c r="D298" s="10" t="n"/>
      <c r="E298" s="7" t="n"/>
    </row>
    <row r="299">
      <c r="A299" s="7" t="n"/>
      <c r="B299" s="8" t="n"/>
      <c r="C299" s="9" t="n"/>
      <c r="D299" s="10" t="n"/>
      <c r="E299" s="7" t="n"/>
    </row>
    <row r="300">
      <c r="A300" s="7" t="n"/>
      <c r="B300" s="8" t="n"/>
      <c r="C300" s="9" t="n"/>
      <c r="D300" s="10" t="n"/>
      <c r="E30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V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1" customWidth="1" min="4" max="4"/>
    <col width="15" customWidth="1" min="5" max="5"/>
    <col width="9" customWidth="1" min="6" max="6"/>
    <col width="28" customWidth="1" min="7" max="7"/>
    <col width="30" customWidth="1" min="8" max="8"/>
    <col width="13" customWidth="1" min="9" max="9"/>
    <col width="11" customWidth="1" min="10" max="10"/>
    <col width="9" customWidth="1" min="11" max="11"/>
    <col width="10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2" customWidth="1" min="19" max="19"/>
    <col width="26" customWidth="1" min="20" max="20"/>
    <col width="26" customWidth="1" min="21" max="21"/>
    <col hidden="1" width="4" customWidth="1" min="22" max="22"/>
  </cols>
  <sheetData>
    <row r="1" ht="34" customHeight="1">
      <c r="A1" s="6" t="inlineStr">
        <is>
          <t>Personel Adı Soyadı</t>
        </is>
      </c>
      <c r="B1" s="11" t="inlineStr">
        <is>
          <t>T.C. Kimlik No</t>
        </is>
      </c>
      <c r="C1" s="11" t="inlineStr">
        <is>
          <t>Net Maaş (TL)</t>
        </is>
      </c>
      <c r="D1" s="6" t="inlineStr">
        <is>
          <t>Dosya Tarihi</t>
        </is>
      </c>
      <c r="E1" s="6" t="inlineStr">
        <is>
          <t>Dosya Numarası</t>
        </is>
      </c>
      <c r="F1" s="6" t="inlineStr">
        <is>
          <t>Öncelik Sırası</t>
        </is>
      </c>
      <c r="G1" s="6" t="inlineStr">
        <is>
          <t>İcra Dairesi</t>
        </is>
      </c>
      <c r="H1" s="6" t="inlineStr">
        <is>
          <t>Alacaklı</t>
        </is>
      </c>
      <c r="I1" s="6" t="inlineStr">
        <is>
          <t>İcra Tutarı (TL)</t>
        </is>
      </c>
      <c r="J1" s="6" t="inlineStr">
        <is>
          <t>Kesinti Şekli</t>
        </is>
      </c>
      <c r="K1" s="6" t="inlineStr">
        <is>
          <t>Oran - Pay (örn. 1)</t>
        </is>
      </c>
      <c r="L1" s="6" t="inlineStr">
        <is>
          <t>Oran - Payda (örn. 4)</t>
        </is>
      </c>
      <c r="M1" s="6" t="inlineStr">
        <is>
          <t>Sabit Aylık Kesinti (TL)</t>
        </is>
      </c>
      <c r="N1" s="11" t="inlineStr">
        <is>
          <t>Bu Ay Kesilecek (TL)</t>
        </is>
      </c>
      <c r="O1" s="6" t="inlineStr">
        <is>
          <t>Önceki Firmada Tahsil (TL)</t>
        </is>
      </c>
      <c r="P1" s="11" t="inlineStr">
        <is>
          <t>Bordro Kesintileri Toplamı (TL)</t>
        </is>
      </c>
      <c r="Q1" s="11" t="inlineStr">
        <is>
          <t>Toplam Tahsil Edilen (TL)</t>
        </is>
      </c>
      <c r="R1" s="11" t="inlineStr">
        <is>
          <t>Kalan Borç (TL)</t>
        </is>
      </c>
      <c r="S1" s="11" t="inlineStr">
        <is>
          <t>DURUM</t>
        </is>
      </c>
      <c r="T1" s="6" t="inlineStr">
        <is>
          <t>Ödeme Yapılacak Banka / IBAN</t>
        </is>
      </c>
      <c r="U1" s="6" t="inlineStr">
        <is>
          <t>Açıklama</t>
        </is>
      </c>
      <c r="V1" s="11" t="inlineStr">
        <is>
          <t>(otomatik - silmeyin)</t>
        </is>
      </c>
    </row>
    <row r="2">
      <c r="A2" s="7" t="inlineStr">
        <is>
          <t>MERT TÜZE</t>
        </is>
      </c>
      <c r="B2" s="8">
        <f>IF($A2="","",IFERROR(VLOOKUP($A2,PERSONEL!$A$2:$C$300,2,0),""))</f>
        <v/>
      </c>
      <c r="C2" s="9">
        <f>IF($A2="","",IFERROR(VLOOKUP($A2,PERSONEL!$A$2:$C$300,3,0),""))</f>
        <v/>
      </c>
      <c r="D2" s="10" t="n">
        <v>46076</v>
      </c>
      <c r="E2" s="7" t="inlineStr">
        <is>
          <t>2025/203385</t>
        </is>
      </c>
      <c r="F2" s="7" t="n">
        <v>1</v>
      </c>
      <c r="G2" s="7" t="inlineStr">
        <is>
          <t>BANKA ALACAKLARI İCRA DAİRESİ</t>
        </is>
      </c>
      <c r="H2" s="7" t="inlineStr">
        <is>
          <t>AKBANK TÜRK ANONİM ŞİRKETİ</t>
        </is>
      </c>
      <c r="I2" s="9" t="n">
        <v>130656.65</v>
      </c>
      <c r="J2" s="7" t="inlineStr">
        <is>
          <t>Oran</t>
        </is>
      </c>
      <c r="K2" s="7" t="n">
        <v>1</v>
      </c>
      <c r="L2" s="7" t="n">
        <v>4</v>
      </c>
      <c r="M2" s="9" t="n"/>
      <c r="N2" s="9">
        <f>IF($E2="","",IF($S2&lt;&gt;"ÖDEMEDE",0,MIN($R2,IF($J2="Oran",IFERROR($C2*$K2/$L2,0),$M2))))</f>
        <v/>
      </c>
      <c r="O2" s="9" t="n">
        <v>0</v>
      </c>
      <c r="P2" s="9">
        <f>IF($E2="","",SUMIFS('AYLIK KESİNTİLER'!$E$2:$E$5000,'AYLIK KESİNTİLER'!$A$2:$A$5000,$A2,'AYLIK KESİNTİLER'!$B$2:$B$5000,$E2))</f>
        <v/>
      </c>
      <c r="Q2" s="9">
        <f>IF($E2="","",$O2+$P2)</f>
        <v/>
      </c>
      <c r="R2" s="9">
        <f>IF($E2="","",$I2-$Q2)</f>
        <v/>
      </c>
      <c r="S2" s="12">
        <f>IF($E2="","",IF($R2&lt;=0,"KAPANDI",IF(COUNTIFS($A$2:$A$300,$A2,$F$2:$F$300,"&lt;"&amp;$F2,$R$2:$R$300,"&gt;0")=0,"ÖDEMEDE","SIRADA")))</f>
        <v/>
      </c>
      <c r="T2" s="7" t="n"/>
      <c r="U2" s="7" t="inlineStr">
        <is>
          <t>ÖRNEK (Zirve ekranındaki dosya)</t>
        </is>
      </c>
      <c r="V2">
        <f>IF($E2="","",$A2&amp;"|"&amp;$S2)</f>
        <v/>
      </c>
    </row>
    <row r="3">
      <c r="A3" s="7" t="inlineStr">
        <is>
          <t>MERT TÜZE</t>
        </is>
      </c>
      <c r="B3" s="8">
        <f>IF($A3="","",IFERROR(VLOOKUP($A3,PERSONEL!$A$2:$C$300,2,0),""))</f>
        <v/>
      </c>
      <c r="C3" s="9">
        <f>IF($A3="","",IFERROR(VLOOKUP($A3,PERSONEL!$A$2:$C$300,3,0),""))</f>
        <v/>
      </c>
      <c r="D3" s="10" t="n">
        <v>46183</v>
      </c>
      <c r="E3" s="7" t="inlineStr">
        <is>
          <t>deneme</t>
        </is>
      </c>
      <c r="F3" s="7" t="n">
        <v>2</v>
      </c>
      <c r="G3" s="7" t="inlineStr"/>
      <c r="H3" s="7" t="inlineStr"/>
      <c r="I3" s="9" t="n">
        <v>10000</v>
      </c>
      <c r="J3" s="7" t="inlineStr">
        <is>
          <t>Sabit Tutar</t>
        </is>
      </c>
      <c r="K3" s="7" t="n"/>
      <c r="L3" s="7" t="n"/>
      <c r="M3" s="9" t="n">
        <v>10000</v>
      </c>
      <c r="N3" s="9">
        <f>IF($E3="","",IF($S3&lt;&gt;"ÖDEMEDE",0,MIN($R3,IF($J3="Oran",IFERROR($C3*$K3/$L3,0),$M3))))</f>
        <v/>
      </c>
      <c r="O3" s="9" t="n">
        <v>0</v>
      </c>
      <c r="P3" s="9">
        <f>IF($E3="","",SUMIFS('AYLIK KESİNTİLER'!$E$2:$E$5000,'AYLIK KESİNTİLER'!$A$2:$A$5000,$A3,'AYLIK KESİNTİLER'!$B$2:$B$5000,$E3))</f>
        <v/>
      </c>
      <c r="Q3" s="9">
        <f>IF($E3="","",$O3+$P3)</f>
        <v/>
      </c>
      <c r="R3" s="9">
        <f>IF($E3="","",$I3-$Q3)</f>
        <v/>
      </c>
      <c r="S3" s="12">
        <f>IF($E3="","",IF($R3&lt;=0,"KAPANDI",IF(COUNTIFS($A$2:$A$300,$A3,$F$2:$F$300,"&lt;"&amp;$F3,$R$2:$R$300,"&gt;0")=0,"ÖDEMEDE","SIRADA")))</f>
        <v/>
      </c>
      <c r="T3" s="7" t="n"/>
      <c r="U3" s="7" t="inlineStr">
        <is>
          <t>ÖRNEK</t>
        </is>
      </c>
      <c r="V3">
        <f>IF($E3="","",$A3&amp;"|"&amp;$S3)</f>
        <v/>
      </c>
    </row>
    <row r="4">
      <c r="A4" s="7" t="inlineStr">
        <is>
          <t>AHMET BAŞOĞLU</t>
        </is>
      </c>
      <c r="B4" s="8">
        <f>IF($A4="","",IFERROR(VLOOKUP($A4,PERSONEL!$A$2:$C$300,2,0),""))</f>
        <v/>
      </c>
      <c r="C4" s="9">
        <f>IF($A4="","",IFERROR(VLOOKUP($A4,PERSONEL!$A$2:$C$300,3,0),""))</f>
        <v/>
      </c>
      <c r="D4" s="10" t="n">
        <v>46037</v>
      </c>
      <c r="E4" s="7" t="inlineStr">
        <is>
          <t>2024/101010</t>
        </is>
      </c>
      <c r="F4" s="7" t="n">
        <v>1</v>
      </c>
      <c r="G4" s="7" t="inlineStr">
        <is>
          <t>ANKARA 5. İCRA DAİRESİ</t>
        </is>
      </c>
      <c r="H4" s="7" t="inlineStr">
        <is>
          <t>X FİNANS A.Ş.</t>
        </is>
      </c>
      <c r="I4" s="9" t="n">
        <v>5000</v>
      </c>
      <c r="J4" s="7" t="inlineStr">
        <is>
          <t>Sabit Tutar</t>
        </is>
      </c>
      <c r="K4" s="7" t="n"/>
      <c r="L4" s="7" t="n"/>
      <c r="M4" s="9" t="n">
        <v>2500</v>
      </c>
      <c r="N4" s="9">
        <f>IF($E4="","",IF($S4&lt;&gt;"ÖDEMEDE",0,MIN($R4,IF($J4="Oran",IFERROR($C4*$K4/$L4,0),$M4))))</f>
        <v/>
      </c>
      <c r="O4" s="9" t="n">
        <v>5000</v>
      </c>
      <c r="P4" s="9">
        <f>IF($E4="","",SUMIFS('AYLIK KESİNTİLER'!$E$2:$E$5000,'AYLIK KESİNTİLER'!$A$2:$A$5000,$A4,'AYLIK KESİNTİLER'!$B$2:$B$5000,$E4))</f>
        <v/>
      </c>
      <c r="Q4" s="9">
        <f>IF($E4="","",$O4+$P4)</f>
        <v/>
      </c>
      <c r="R4" s="9">
        <f>IF($E4="","",$I4-$Q4)</f>
        <v/>
      </c>
      <c r="S4" s="12">
        <f>IF($E4="","",IF($R4&lt;=0,"KAPANDI",IF(COUNTIFS($A$2:$A$300,$A4,$F$2:$F$300,"&lt;"&amp;$F4,$R$2:$R$300,"&gt;0")=0,"ÖDEMEDE","SIRADA")))</f>
        <v/>
      </c>
      <c r="T4" s="7" t="n"/>
      <c r="U4" s="7" t="inlineStr">
        <is>
          <t>ÖRNEK: borç bitti, otomatik KAPANDI</t>
        </is>
      </c>
      <c r="V4">
        <f>IF($E4="","",$A4&amp;"|"&amp;$S4)</f>
        <v/>
      </c>
    </row>
    <row r="5">
      <c r="A5" s="7" t="inlineStr">
        <is>
          <t>AHMET BAŞOĞLU</t>
        </is>
      </c>
      <c r="B5" s="8">
        <f>IF($A5="","",IFERROR(VLOOKUP($A5,PERSONEL!$A$2:$C$300,2,0),""))</f>
        <v/>
      </c>
      <c r="C5" s="9">
        <f>IF($A5="","",IFERROR(VLOOKUP($A5,PERSONEL!$A$2:$C$300,3,0),""))</f>
        <v/>
      </c>
      <c r="D5" s="10" t="n">
        <v>46074</v>
      </c>
      <c r="E5" s="7" t="inlineStr">
        <is>
          <t>2025/55555</t>
        </is>
      </c>
      <c r="F5" s="7" t="n">
        <v>2</v>
      </c>
      <c r="G5" s="7" t="inlineStr">
        <is>
          <t>ANKARA 12. İCRA DAİRESİ</t>
        </is>
      </c>
      <c r="H5" s="7" t="inlineStr">
        <is>
          <t>Y BANKASI A.Ş.</t>
        </is>
      </c>
      <c r="I5" s="9" t="n">
        <v>24000</v>
      </c>
      <c r="J5" s="7" t="inlineStr">
        <is>
          <t>Oran</t>
        </is>
      </c>
      <c r="K5" s="7" t="n">
        <v>1</v>
      </c>
      <c r="L5" s="7" t="n">
        <v>4</v>
      </c>
      <c r="M5" s="9" t="n"/>
      <c r="N5" s="9">
        <f>IF($E5="","",IF($S5&lt;&gt;"ÖDEMEDE",0,MIN($R5,IF($J5="Oran",IFERROR($C5*$K5/$L5,0),$M5))))</f>
        <v/>
      </c>
      <c r="O5" s="9" t="n">
        <v>0</v>
      </c>
      <c r="P5" s="9">
        <f>IF($E5="","",SUMIFS('AYLIK KESİNTİLER'!$E$2:$E$5000,'AYLIK KESİNTİLER'!$A$2:$A$5000,$A5,'AYLIK KESİNTİLER'!$B$2:$B$5000,$E5))</f>
        <v/>
      </c>
      <c r="Q5" s="9">
        <f>IF($E5="","",$O5+$P5)</f>
        <v/>
      </c>
      <c r="R5" s="9">
        <f>IF($E5="","",$I5-$Q5)</f>
        <v/>
      </c>
      <c r="S5" s="12">
        <f>IF($E5="","",IF($R5&lt;=0,"KAPANDI",IF(COUNTIFS($A$2:$A$300,$A5,$F$2:$F$300,"&lt;"&amp;$F5,$R$2:$R$300,"&gt;0")=0,"ÖDEMEDE","SIRADA")))</f>
        <v/>
      </c>
      <c r="T5" s="7" t="n"/>
      <c r="U5" s="7" t="inlineStr">
        <is>
          <t>ÖRNEK: 1. dosya kapanınca ÖDEMEDE'ye geçti</t>
        </is>
      </c>
      <c r="V5">
        <f>IF($E5="","",$A5&amp;"|"&amp;$S5)</f>
        <v/>
      </c>
    </row>
    <row r="6">
      <c r="A6" s="7" t="inlineStr">
        <is>
          <t>AHMET BAŞOĞLU</t>
        </is>
      </c>
      <c r="B6" s="8">
        <f>IF($A6="","",IFERROR(VLOOKUP($A6,PERSONEL!$A$2:$C$300,2,0),""))</f>
        <v/>
      </c>
      <c r="C6" s="9">
        <f>IF($A6="","",IFERROR(VLOOKUP($A6,PERSONEL!$A$2:$C$300,3,0),""))</f>
        <v/>
      </c>
      <c r="D6" s="10" t="n">
        <v>46082</v>
      </c>
      <c r="E6" s="7" t="inlineStr">
        <is>
          <t>2026/77777</t>
        </is>
      </c>
      <c r="F6" s="7" t="n">
        <v>3</v>
      </c>
      <c r="G6" s="7" t="inlineStr">
        <is>
          <t>ANKARA 3. İCRA DAİRESİ</t>
        </is>
      </c>
      <c r="H6" s="7" t="inlineStr">
        <is>
          <t>Z TELEKOM A.Ş.</t>
        </is>
      </c>
      <c r="I6" s="9" t="n">
        <v>8000</v>
      </c>
      <c r="J6" s="7" t="inlineStr">
        <is>
          <t>Oran</t>
        </is>
      </c>
      <c r="K6" s="7" t="n">
        <v>1</v>
      </c>
      <c r="L6" s="7" t="n">
        <v>4</v>
      </c>
      <c r="M6" s="9" t="n"/>
      <c r="N6" s="9">
        <f>IF($E6="","",IF($S6&lt;&gt;"ÖDEMEDE",0,MIN($R6,IF($J6="Oran",IFERROR($C6*$K6/$L6,0),$M6))))</f>
        <v/>
      </c>
      <c r="O6" s="9" t="n">
        <v>0</v>
      </c>
      <c r="P6" s="9">
        <f>IF($E6="","",SUMIFS('AYLIK KESİNTİLER'!$E$2:$E$5000,'AYLIK KESİNTİLER'!$A$2:$A$5000,$A6,'AYLIK KESİNTİLER'!$B$2:$B$5000,$E6))</f>
        <v/>
      </c>
      <c r="Q6" s="9">
        <f>IF($E6="","",$O6+$P6)</f>
        <v/>
      </c>
      <c r="R6" s="9">
        <f>IF($E6="","",$I6-$Q6)</f>
        <v/>
      </c>
      <c r="S6" s="12">
        <f>IF($E6="","",IF($R6&lt;=0,"KAPANDI",IF(COUNTIFS($A$2:$A$300,$A6,$F$2:$F$300,"&lt;"&amp;$F6,$R$2:$R$300,"&gt;0")=0,"ÖDEMEDE","SIRADA")))</f>
        <v/>
      </c>
      <c r="T6" s="7" t="n"/>
      <c r="U6" s="7" t="inlineStr">
        <is>
          <t>ÖRNEK: sırada bekliyor</t>
        </is>
      </c>
      <c r="V6">
        <f>IF($E6="","",$A6&amp;"|"&amp;$S6)</f>
        <v/>
      </c>
    </row>
    <row r="7">
      <c r="A7" s="7" t="n"/>
      <c r="B7" s="8">
        <f>IF($A7="","",IFERROR(VLOOKUP($A7,PERSONEL!$A$2:$C$300,2,0),""))</f>
        <v/>
      </c>
      <c r="C7" s="9">
        <f>IF($A7="","",IFERROR(VLOOKUP($A7,PERSONEL!$A$2:$C$300,3,0),""))</f>
        <v/>
      </c>
      <c r="D7" s="10" t="n"/>
      <c r="E7" s="7" t="n"/>
      <c r="F7" s="7" t="n"/>
      <c r="G7" s="7" t="n"/>
      <c r="H7" s="7" t="n"/>
      <c r="I7" s="9" t="n"/>
      <c r="J7" s="7" t="n"/>
      <c r="K7" s="7" t="n"/>
      <c r="L7" s="7" t="n"/>
      <c r="M7" s="9" t="n"/>
      <c r="N7" s="9">
        <f>IF($E7="","",IF($S7&lt;&gt;"ÖDEMEDE",0,MIN($R7,IF($J7="Oran",IFERROR($C7*$K7/$L7,0),$M7))))</f>
        <v/>
      </c>
      <c r="O7" s="9" t="n"/>
      <c r="P7" s="9">
        <f>IF($E7="","",SUMIFS('AYLIK KESİNTİLER'!$E$2:$E$5000,'AYLIK KESİNTİLER'!$A$2:$A$5000,$A7,'AYLIK KESİNTİLER'!$B$2:$B$5000,$E7))</f>
        <v/>
      </c>
      <c r="Q7" s="9">
        <f>IF($E7="","",$O7+$P7)</f>
        <v/>
      </c>
      <c r="R7" s="9">
        <f>IF($E7="","",$I7-$Q7)</f>
        <v/>
      </c>
      <c r="S7" s="12">
        <f>IF($E7="","",IF($R7&lt;=0,"KAPANDI",IF(COUNTIFS($A$2:$A$300,$A7,$F$2:$F$300,"&lt;"&amp;$F7,$R$2:$R$300,"&gt;0")=0,"ÖDEMEDE","SIRADA")))</f>
        <v/>
      </c>
      <c r="T7" s="7" t="n"/>
      <c r="U7" s="7" t="n"/>
      <c r="V7">
        <f>IF($E7="","",$A7&amp;"|"&amp;$S7)</f>
        <v/>
      </c>
    </row>
    <row r="8">
      <c r="A8" s="7" t="n"/>
      <c r="B8" s="8">
        <f>IF($A8="","",IFERROR(VLOOKUP($A8,PERSONEL!$A$2:$C$300,2,0),""))</f>
        <v/>
      </c>
      <c r="C8" s="9">
        <f>IF($A8="","",IFERROR(VLOOKUP($A8,PERSONEL!$A$2:$C$300,3,0),""))</f>
        <v/>
      </c>
      <c r="D8" s="10" t="n"/>
      <c r="E8" s="7" t="n"/>
      <c r="F8" s="7" t="n"/>
      <c r="G8" s="7" t="n"/>
      <c r="H8" s="7" t="n"/>
      <c r="I8" s="9" t="n"/>
      <c r="J8" s="7" t="n"/>
      <c r="K8" s="7" t="n"/>
      <c r="L8" s="7" t="n"/>
      <c r="M8" s="9" t="n"/>
      <c r="N8" s="9">
        <f>IF($E8="","",IF($S8&lt;&gt;"ÖDEMEDE",0,MIN($R8,IF($J8="Oran",IFERROR($C8*$K8/$L8,0),$M8))))</f>
        <v/>
      </c>
      <c r="O8" s="9" t="n"/>
      <c r="P8" s="9">
        <f>IF($E8="","",SUMIFS('AYLIK KESİNTİLER'!$E$2:$E$5000,'AYLIK KESİNTİLER'!$A$2:$A$5000,$A8,'AYLIK KESİNTİLER'!$B$2:$B$5000,$E8))</f>
        <v/>
      </c>
      <c r="Q8" s="9">
        <f>IF($E8="","",$O8+$P8)</f>
        <v/>
      </c>
      <c r="R8" s="9">
        <f>IF($E8="","",$I8-$Q8)</f>
        <v/>
      </c>
      <c r="S8" s="12">
        <f>IF($E8="","",IF($R8&lt;=0,"KAPANDI",IF(COUNTIFS($A$2:$A$300,$A8,$F$2:$F$300,"&lt;"&amp;$F8,$R$2:$R$300,"&gt;0")=0,"ÖDEMEDE","SIRADA")))</f>
        <v/>
      </c>
      <c r="T8" s="7" t="n"/>
      <c r="U8" s="7" t="n"/>
      <c r="V8">
        <f>IF($E8="","",$A8&amp;"|"&amp;$S8)</f>
        <v/>
      </c>
    </row>
    <row r="9">
      <c r="A9" s="7" t="n"/>
      <c r="B9" s="8">
        <f>IF($A9="","",IFERROR(VLOOKUP($A9,PERSONEL!$A$2:$C$300,2,0),""))</f>
        <v/>
      </c>
      <c r="C9" s="9">
        <f>IF($A9="","",IFERROR(VLOOKUP($A9,PERSONEL!$A$2:$C$300,3,0),""))</f>
        <v/>
      </c>
      <c r="D9" s="10" t="n"/>
      <c r="E9" s="7" t="n"/>
      <c r="F9" s="7" t="n"/>
      <c r="G9" s="7" t="n"/>
      <c r="H9" s="7" t="n"/>
      <c r="I9" s="9" t="n"/>
      <c r="J9" s="7" t="n"/>
      <c r="K9" s="7" t="n"/>
      <c r="L9" s="7" t="n"/>
      <c r="M9" s="9" t="n"/>
      <c r="N9" s="9">
        <f>IF($E9="","",IF($S9&lt;&gt;"ÖDEMEDE",0,MIN($R9,IF($J9="Oran",IFERROR($C9*$K9/$L9,0),$M9))))</f>
        <v/>
      </c>
      <c r="O9" s="9" t="n"/>
      <c r="P9" s="9">
        <f>IF($E9="","",SUMIFS('AYLIK KESİNTİLER'!$E$2:$E$5000,'AYLIK KESİNTİLER'!$A$2:$A$5000,$A9,'AYLIK KESİNTİLER'!$B$2:$B$5000,$E9))</f>
        <v/>
      </c>
      <c r="Q9" s="9">
        <f>IF($E9="","",$O9+$P9)</f>
        <v/>
      </c>
      <c r="R9" s="9">
        <f>IF($E9="","",$I9-$Q9)</f>
        <v/>
      </c>
      <c r="S9" s="12">
        <f>IF($E9="","",IF($R9&lt;=0,"KAPANDI",IF(COUNTIFS($A$2:$A$300,$A9,$F$2:$F$300,"&lt;"&amp;$F9,$R$2:$R$300,"&gt;0")=0,"ÖDEMEDE","SIRADA")))</f>
        <v/>
      </c>
      <c r="T9" s="7" t="n"/>
      <c r="U9" s="7" t="n"/>
      <c r="V9">
        <f>IF($E9="","",$A9&amp;"|"&amp;$S9)</f>
        <v/>
      </c>
    </row>
    <row r="10">
      <c r="A10" s="7" t="n"/>
      <c r="B10" s="8">
        <f>IF($A10="","",IFERROR(VLOOKUP($A10,PERSONEL!$A$2:$C$300,2,0),""))</f>
        <v/>
      </c>
      <c r="C10" s="9">
        <f>IF($A10="","",IFERROR(VLOOKUP($A10,PERSONEL!$A$2:$C$300,3,0),""))</f>
        <v/>
      </c>
      <c r="D10" s="10" t="n"/>
      <c r="E10" s="7" t="n"/>
      <c r="F10" s="7" t="n"/>
      <c r="G10" s="7" t="n"/>
      <c r="H10" s="7" t="n"/>
      <c r="I10" s="9" t="n"/>
      <c r="J10" s="7" t="n"/>
      <c r="K10" s="7" t="n"/>
      <c r="L10" s="7" t="n"/>
      <c r="M10" s="9" t="n"/>
      <c r="N10" s="9">
        <f>IF($E10="","",IF($S10&lt;&gt;"ÖDEMEDE",0,MIN($R10,IF($J10="Oran",IFERROR($C10*$K10/$L10,0),$M10))))</f>
        <v/>
      </c>
      <c r="O10" s="9" t="n"/>
      <c r="P10" s="9">
        <f>IF($E10="","",SUMIFS('AYLIK KESİNTİLER'!$E$2:$E$5000,'AYLIK KESİNTİLER'!$A$2:$A$5000,$A10,'AYLIK KESİNTİLER'!$B$2:$B$5000,$E10))</f>
        <v/>
      </c>
      <c r="Q10" s="9">
        <f>IF($E10="","",$O10+$P10)</f>
        <v/>
      </c>
      <c r="R10" s="9">
        <f>IF($E10="","",$I10-$Q10)</f>
        <v/>
      </c>
      <c r="S10" s="12">
        <f>IF($E10="","",IF($R10&lt;=0,"KAPANDI",IF(COUNTIFS($A$2:$A$300,$A10,$F$2:$F$300,"&lt;"&amp;$F10,$R$2:$R$300,"&gt;0")=0,"ÖDEMEDE","SIRADA")))</f>
        <v/>
      </c>
      <c r="T10" s="7" t="n"/>
      <c r="U10" s="7" t="n"/>
      <c r="V10">
        <f>IF($E10="","",$A10&amp;"|"&amp;$S10)</f>
        <v/>
      </c>
    </row>
    <row r="11">
      <c r="A11" s="7" t="n"/>
      <c r="B11" s="8">
        <f>IF($A11="","",IFERROR(VLOOKUP($A11,PERSONEL!$A$2:$C$300,2,0),""))</f>
        <v/>
      </c>
      <c r="C11" s="9">
        <f>IF($A11="","",IFERROR(VLOOKUP($A11,PERSONEL!$A$2:$C$300,3,0),""))</f>
        <v/>
      </c>
      <c r="D11" s="10" t="n"/>
      <c r="E11" s="7" t="n"/>
      <c r="F11" s="7" t="n"/>
      <c r="G11" s="7" t="n"/>
      <c r="H11" s="7" t="n"/>
      <c r="I11" s="9" t="n"/>
      <c r="J11" s="7" t="n"/>
      <c r="K11" s="7" t="n"/>
      <c r="L11" s="7" t="n"/>
      <c r="M11" s="9" t="n"/>
      <c r="N11" s="9">
        <f>IF($E11="","",IF($S11&lt;&gt;"ÖDEMEDE",0,MIN($R11,IF($J11="Oran",IFERROR($C11*$K11/$L11,0),$M11))))</f>
        <v/>
      </c>
      <c r="O11" s="9" t="n"/>
      <c r="P11" s="9">
        <f>IF($E11="","",SUMIFS('AYLIK KESİNTİLER'!$E$2:$E$5000,'AYLIK KESİNTİLER'!$A$2:$A$5000,$A11,'AYLIK KESİNTİLER'!$B$2:$B$5000,$E11))</f>
        <v/>
      </c>
      <c r="Q11" s="9">
        <f>IF($E11="","",$O11+$P11)</f>
        <v/>
      </c>
      <c r="R11" s="9">
        <f>IF($E11="","",$I11-$Q11)</f>
        <v/>
      </c>
      <c r="S11" s="12">
        <f>IF($E11="","",IF($R11&lt;=0,"KAPANDI",IF(COUNTIFS($A$2:$A$300,$A11,$F$2:$F$300,"&lt;"&amp;$F11,$R$2:$R$300,"&gt;0")=0,"ÖDEMEDE","SIRADA")))</f>
        <v/>
      </c>
      <c r="T11" s="7" t="n"/>
      <c r="U11" s="7" t="n"/>
      <c r="V11">
        <f>IF($E11="","",$A11&amp;"|"&amp;$S11)</f>
        <v/>
      </c>
    </row>
    <row r="12">
      <c r="A12" s="7" t="n"/>
      <c r="B12" s="8">
        <f>IF($A12="","",IFERROR(VLOOKUP($A12,PERSONEL!$A$2:$C$300,2,0),""))</f>
        <v/>
      </c>
      <c r="C12" s="9">
        <f>IF($A12="","",IFERROR(VLOOKUP($A12,PERSONEL!$A$2:$C$300,3,0),""))</f>
        <v/>
      </c>
      <c r="D12" s="10" t="n"/>
      <c r="E12" s="7" t="n"/>
      <c r="F12" s="7" t="n"/>
      <c r="G12" s="7" t="n"/>
      <c r="H12" s="7" t="n"/>
      <c r="I12" s="9" t="n"/>
      <c r="J12" s="7" t="n"/>
      <c r="K12" s="7" t="n"/>
      <c r="L12" s="7" t="n"/>
      <c r="M12" s="9" t="n"/>
      <c r="N12" s="9">
        <f>IF($E12="","",IF($S12&lt;&gt;"ÖDEMEDE",0,MIN($R12,IF($J12="Oran",IFERROR($C12*$K12/$L12,0),$M12))))</f>
        <v/>
      </c>
      <c r="O12" s="9" t="n"/>
      <c r="P12" s="9">
        <f>IF($E12="","",SUMIFS('AYLIK KESİNTİLER'!$E$2:$E$5000,'AYLIK KESİNTİLER'!$A$2:$A$5000,$A12,'AYLIK KESİNTİLER'!$B$2:$B$5000,$E12))</f>
        <v/>
      </c>
      <c r="Q12" s="9">
        <f>IF($E12="","",$O12+$P12)</f>
        <v/>
      </c>
      <c r="R12" s="9">
        <f>IF($E12="","",$I12-$Q12)</f>
        <v/>
      </c>
      <c r="S12" s="12">
        <f>IF($E12="","",IF($R12&lt;=0,"KAPANDI",IF(COUNTIFS($A$2:$A$300,$A12,$F$2:$F$300,"&lt;"&amp;$F12,$R$2:$R$300,"&gt;0")=0,"ÖDEMEDE","SIRADA")))</f>
        <v/>
      </c>
      <c r="T12" s="7" t="n"/>
      <c r="U12" s="7" t="n"/>
      <c r="V12">
        <f>IF($E12="","",$A12&amp;"|"&amp;$S12)</f>
        <v/>
      </c>
    </row>
    <row r="13">
      <c r="A13" s="7" t="n"/>
      <c r="B13" s="8">
        <f>IF($A13="","",IFERROR(VLOOKUP($A13,PERSONEL!$A$2:$C$300,2,0),""))</f>
        <v/>
      </c>
      <c r="C13" s="9">
        <f>IF($A13="","",IFERROR(VLOOKUP($A13,PERSONEL!$A$2:$C$300,3,0),""))</f>
        <v/>
      </c>
      <c r="D13" s="10" t="n"/>
      <c r="E13" s="7" t="n"/>
      <c r="F13" s="7" t="n"/>
      <c r="G13" s="7" t="n"/>
      <c r="H13" s="7" t="n"/>
      <c r="I13" s="9" t="n"/>
      <c r="J13" s="7" t="n"/>
      <c r="K13" s="7" t="n"/>
      <c r="L13" s="7" t="n"/>
      <c r="M13" s="9" t="n"/>
      <c r="N13" s="9">
        <f>IF($E13="","",IF($S13&lt;&gt;"ÖDEMEDE",0,MIN($R13,IF($J13="Oran",IFERROR($C13*$K13/$L13,0),$M13))))</f>
        <v/>
      </c>
      <c r="O13" s="9" t="n"/>
      <c r="P13" s="9">
        <f>IF($E13="","",SUMIFS('AYLIK KESİNTİLER'!$E$2:$E$5000,'AYLIK KESİNTİLER'!$A$2:$A$5000,$A13,'AYLIK KESİNTİLER'!$B$2:$B$5000,$E13))</f>
        <v/>
      </c>
      <c r="Q13" s="9">
        <f>IF($E13="","",$O13+$P13)</f>
        <v/>
      </c>
      <c r="R13" s="9">
        <f>IF($E13="","",$I13-$Q13)</f>
        <v/>
      </c>
      <c r="S13" s="12">
        <f>IF($E13="","",IF($R13&lt;=0,"KAPANDI",IF(COUNTIFS($A$2:$A$300,$A13,$F$2:$F$300,"&lt;"&amp;$F13,$R$2:$R$300,"&gt;0")=0,"ÖDEMEDE","SIRADA")))</f>
        <v/>
      </c>
      <c r="T13" s="7" t="n"/>
      <c r="U13" s="7" t="n"/>
      <c r="V13">
        <f>IF($E13="","",$A13&amp;"|"&amp;$S13)</f>
        <v/>
      </c>
    </row>
    <row r="14">
      <c r="A14" s="7" t="n"/>
      <c r="B14" s="8">
        <f>IF($A14="","",IFERROR(VLOOKUP($A14,PERSONEL!$A$2:$C$300,2,0),""))</f>
        <v/>
      </c>
      <c r="C14" s="9">
        <f>IF($A14="","",IFERROR(VLOOKUP($A14,PERSONEL!$A$2:$C$300,3,0),""))</f>
        <v/>
      </c>
      <c r="D14" s="10" t="n"/>
      <c r="E14" s="7" t="n"/>
      <c r="F14" s="7" t="n"/>
      <c r="G14" s="7" t="n"/>
      <c r="H14" s="7" t="n"/>
      <c r="I14" s="9" t="n"/>
      <c r="J14" s="7" t="n"/>
      <c r="K14" s="7" t="n"/>
      <c r="L14" s="7" t="n"/>
      <c r="M14" s="9" t="n"/>
      <c r="N14" s="9">
        <f>IF($E14="","",IF($S14&lt;&gt;"ÖDEMEDE",0,MIN($R14,IF($J14="Oran",IFERROR($C14*$K14/$L14,0),$M14))))</f>
        <v/>
      </c>
      <c r="O14" s="9" t="n"/>
      <c r="P14" s="9">
        <f>IF($E14="","",SUMIFS('AYLIK KESİNTİLER'!$E$2:$E$5000,'AYLIK KESİNTİLER'!$A$2:$A$5000,$A14,'AYLIK KESİNTİLER'!$B$2:$B$5000,$E14))</f>
        <v/>
      </c>
      <c r="Q14" s="9">
        <f>IF($E14="","",$O14+$P14)</f>
        <v/>
      </c>
      <c r="R14" s="9">
        <f>IF($E14="","",$I14-$Q14)</f>
        <v/>
      </c>
      <c r="S14" s="12">
        <f>IF($E14="","",IF($R14&lt;=0,"KAPANDI",IF(COUNTIFS($A$2:$A$300,$A14,$F$2:$F$300,"&lt;"&amp;$F14,$R$2:$R$300,"&gt;0")=0,"ÖDEMEDE","SIRADA")))</f>
        <v/>
      </c>
      <c r="T14" s="7" t="n"/>
      <c r="U14" s="7" t="n"/>
      <c r="V14">
        <f>IF($E14="","",$A14&amp;"|"&amp;$S14)</f>
        <v/>
      </c>
    </row>
    <row r="15">
      <c r="A15" s="7" t="n"/>
      <c r="B15" s="8">
        <f>IF($A15="","",IFERROR(VLOOKUP($A15,PERSONEL!$A$2:$C$300,2,0),""))</f>
        <v/>
      </c>
      <c r="C15" s="9">
        <f>IF($A15="","",IFERROR(VLOOKUP($A15,PERSONEL!$A$2:$C$300,3,0),""))</f>
        <v/>
      </c>
      <c r="D15" s="10" t="n"/>
      <c r="E15" s="7" t="n"/>
      <c r="F15" s="7" t="n"/>
      <c r="G15" s="7" t="n"/>
      <c r="H15" s="7" t="n"/>
      <c r="I15" s="9" t="n"/>
      <c r="J15" s="7" t="n"/>
      <c r="K15" s="7" t="n"/>
      <c r="L15" s="7" t="n"/>
      <c r="M15" s="9" t="n"/>
      <c r="N15" s="9">
        <f>IF($E15="","",IF($S15&lt;&gt;"ÖDEMEDE",0,MIN($R15,IF($J15="Oran",IFERROR($C15*$K15/$L15,0),$M15))))</f>
        <v/>
      </c>
      <c r="O15" s="9" t="n"/>
      <c r="P15" s="9">
        <f>IF($E15="","",SUMIFS('AYLIK KESİNTİLER'!$E$2:$E$5000,'AYLIK KESİNTİLER'!$A$2:$A$5000,$A15,'AYLIK KESİNTİLER'!$B$2:$B$5000,$E15))</f>
        <v/>
      </c>
      <c r="Q15" s="9">
        <f>IF($E15="","",$O15+$P15)</f>
        <v/>
      </c>
      <c r="R15" s="9">
        <f>IF($E15="","",$I15-$Q15)</f>
        <v/>
      </c>
      <c r="S15" s="12">
        <f>IF($E15="","",IF($R15&lt;=0,"KAPANDI",IF(COUNTIFS($A$2:$A$300,$A15,$F$2:$F$300,"&lt;"&amp;$F15,$R$2:$R$300,"&gt;0")=0,"ÖDEMEDE","SIRADA")))</f>
        <v/>
      </c>
      <c r="T15" s="7" t="n"/>
      <c r="U15" s="7" t="n"/>
      <c r="V15">
        <f>IF($E15="","",$A15&amp;"|"&amp;$S15)</f>
        <v/>
      </c>
    </row>
    <row r="16">
      <c r="A16" s="7" t="n"/>
      <c r="B16" s="8">
        <f>IF($A16="","",IFERROR(VLOOKUP($A16,PERSONEL!$A$2:$C$300,2,0),""))</f>
        <v/>
      </c>
      <c r="C16" s="9">
        <f>IF($A16="","",IFERROR(VLOOKUP($A16,PERSONEL!$A$2:$C$300,3,0),""))</f>
        <v/>
      </c>
      <c r="D16" s="10" t="n"/>
      <c r="E16" s="7" t="n"/>
      <c r="F16" s="7" t="n"/>
      <c r="G16" s="7" t="n"/>
      <c r="H16" s="7" t="n"/>
      <c r="I16" s="9" t="n"/>
      <c r="J16" s="7" t="n"/>
      <c r="K16" s="7" t="n"/>
      <c r="L16" s="7" t="n"/>
      <c r="M16" s="9" t="n"/>
      <c r="N16" s="9">
        <f>IF($E16="","",IF($S16&lt;&gt;"ÖDEMEDE",0,MIN($R16,IF($J16="Oran",IFERROR($C16*$K16/$L16,0),$M16))))</f>
        <v/>
      </c>
      <c r="O16" s="9" t="n"/>
      <c r="P16" s="9">
        <f>IF($E16="","",SUMIFS('AYLIK KESİNTİLER'!$E$2:$E$5000,'AYLIK KESİNTİLER'!$A$2:$A$5000,$A16,'AYLIK KESİNTİLER'!$B$2:$B$5000,$E16))</f>
        <v/>
      </c>
      <c r="Q16" s="9">
        <f>IF($E16="","",$O16+$P16)</f>
        <v/>
      </c>
      <c r="R16" s="9">
        <f>IF($E16="","",$I16-$Q16)</f>
        <v/>
      </c>
      <c r="S16" s="12">
        <f>IF($E16="","",IF($R16&lt;=0,"KAPANDI",IF(COUNTIFS($A$2:$A$300,$A16,$F$2:$F$300,"&lt;"&amp;$F16,$R$2:$R$300,"&gt;0")=0,"ÖDEMEDE","SIRADA")))</f>
        <v/>
      </c>
      <c r="T16" s="7" t="n"/>
      <c r="U16" s="7" t="n"/>
      <c r="V16">
        <f>IF($E16="","",$A16&amp;"|"&amp;$S16)</f>
        <v/>
      </c>
    </row>
    <row r="17">
      <c r="A17" s="7" t="n"/>
      <c r="B17" s="8">
        <f>IF($A17="","",IFERROR(VLOOKUP($A17,PERSONEL!$A$2:$C$300,2,0),""))</f>
        <v/>
      </c>
      <c r="C17" s="9">
        <f>IF($A17="","",IFERROR(VLOOKUP($A17,PERSONEL!$A$2:$C$300,3,0),""))</f>
        <v/>
      </c>
      <c r="D17" s="10" t="n"/>
      <c r="E17" s="7" t="n"/>
      <c r="F17" s="7" t="n"/>
      <c r="G17" s="7" t="n"/>
      <c r="H17" s="7" t="n"/>
      <c r="I17" s="9" t="n"/>
      <c r="J17" s="7" t="n"/>
      <c r="K17" s="7" t="n"/>
      <c r="L17" s="7" t="n"/>
      <c r="M17" s="9" t="n"/>
      <c r="N17" s="9">
        <f>IF($E17="","",IF($S17&lt;&gt;"ÖDEMEDE",0,MIN($R17,IF($J17="Oran",IFERROR($C17*$K17/$L17,0),$M17))))</f>
        <v/>
      </c>
      <c r="O17" s="9" t="n"/>
      <c r="P17" s="9">
        <f>IF($E17="","",SUMIFS('AYLIK KESİNTİLER'!$E$2:$E$5000,'AYLIK KESİNTİLER'!$A$2:$A$5000,$A17,'AYLIK KESİNTİLER'!$B$2:$B$5000,$E17))</f>
        <v/>
      </c>
      <c r="Q17" s="9">
        <f>IF($E17="","",$O17+$P17)</f>
        <v/>
      </c>
      <c r="R17" s="9">
        <f>IF($E17="","",$I17-$Q17)</f>
        <v/>
      </c>
      <c r="S17" s="12">
        <f>IF($E17="","",IF($R17&lt;=0,"KAPANDI",IF(COUNTIFS($A$2:$A$300,$A17,$F$2:$F$300,"&lt;"&amp;$F17,$R$2:$R$300,"&gt;0")=0,"ÖDEMEDE","SIRADA")))</f>
        <v/>
      </c>
      <c r="T17" s="7" t="n"/>
      <c r="U17" s="7" t="n"/>
      <c r="V17">
        <f>IF($E17="","",$A17&amp;"|"&amp;$S17)</f>
        <v/>
      </c>
    </row>
    <row r="18">
      <c r="A18" s="7" t="n"/>
      <c r="B18" s="8">
        <f>IF($A18="","",IFERROR(VLOOKUP($A18,PERSONEL!$A$2:$C$300,2,0),""))</f>
        <v/>
      </c>
      <c r="C18" s="9">
        <f>IF($A18="","",IFERROR(VLOOKUP($A18,PERSONEL!$A$2:$C$300,3,0),""))</f>
        <v/>
      </c>
      <c r="D18" s="10" t="n"/>
      <c r="E18" s="7" t="n"/>
      <c r="F18" s="7" t="n"/>
      <c r="G18" s="7" t="n"/>
      <c r="H18" s="7" t="n"/>
      <c r="I18" s="9" t="n"/>
      <c r="J18" s="7" t="n"/>
      <c r="K18" s="7" t="n"/>
      <c r="L18" s="7" t="n"/>
      <c r="M18" s="9" t="n"/>
      <c r="N18" s="9">
        <f>IF($E18="","",IF($S18&lt;&gt;"ÖDEMEDE",0,MIN($R18,IF($J18="Oran",IFERROR($C18*$K18/$L18,0),$M18))))</f>
        <v/>
      </c>
      <c r="O18" s="9" t="n"/>
      <c r="P18" s="9">
        <f>IF($E18="","",SUMIFS('AYLIK KESİNTİLER'!$E$2:$E$5000,'AYLIK KESİNTİLER'!$A$2:$A$5000,$A18,'AYLIK KESİNTİLER'!$B$2:$B$5000,$E18))</f>
        <v/>
      </c>
      <c r="Q18" s="9">
        <f>IF($E18="","",$O18+$P18)</f>
        <v/>
      </c>
      <c r="R18" s="9">
        <f>IF($E18="","",$I18-$Q18)</f>
        <v/>
      </c>
      <c r="S18" s="12">
        <f>IF($E18="","",IF($R18&lt;=0,"KAPANDI",IF(COUNTIFS($A$2:$A$300,$A18,$F$2:$F$300,"&lt;"&amp;$F18,$R$2:$R$300,"&gt;0")=0,"ÖDEMEDE","SIRADA")))</f>
        <v/>
      </c>
      <c r="T18" s="7" t="n"/>
      <c r="U18" s="7" t="n"/>
      <c r="V18">
        <f>IF($E18="","",$A18&amp;"|"&amp;$S18)</f>
        <v/>
      </c>
    </row>
    <row r="19">
      <c r="A19" s="7" t="n"/>
      <c r="B19" s="8">
        <f>IF($A19="","",IFERROR(VLOOKUP($A19,PERSONEL!$A$2:$C$300,2,0),""))</f>
        <v/>
      </c>
      <c r="C19" s="9">
        <f>IF($A19="","",IFERROR(VLOOKUP($A19,PERSONEL!$A$2:$C$300,3,0),""))</f>
        <v/>
      </c>
      <c r="D19" s="10" t="n"/>
      <c r="E19" s="7" t="n"/>
      <c r="F19" s="7" t="n"/>
      <c r="G19" s="7" t="n"/>
      <c r="H19" s="7" t="n"/>
      <c r="I19" s="9" t="n"/>
      <c r="J19" s="7" t="n"/>
      <c r="K19" s="7" t="n"/>
      <c r="L19" s="7" t="n"/>
      <c r="M19" s="9" t="n"/>
      <c r="N19" s="9">
        <f>IF($E19="","",IF($S19&lt;&gt;"ÖDEMEDE",0,MIN($R19,IF($J19="Oran",IFERROR($C19*$K19/$L19,0),$M19))))</f>
        <v/>
      </c>
      <c r="O19" s="9" t="n"/>
      <c r="P19" s="9">
        <f>IF($E19="","",SUMIFS('AYLIK KESİNTİLER'!$E$2:$E$5000,'AYLIK KESİNTİLER'!$A$2:$A$5000,$A19,'AYLIK KESİNTİLER'!$B$2:$B$5000,$E19))</f>
        <v/>
      </c>
      <c r="Q19" s="9">
        <f>IF($E19="","",$O19+$P19)</f>
        <v/>
      </c>
      <c r="R19" s="9">
        <f>IF($E19="","",$I19-$Q19)</f>
        <v/>
      </c>
      <c r="S19" s="12">
        <f>IF($E19="","",IF($R19&lt;=0,"KAPANDI",IF(COUNTIFS($A$2:$A$300,$A19,$F$2:$F$300,"&lt;"&amp;$F19,$R$2:$R$300,"&gt;0")=0,"ÖDEMEDE","SIRADA")))</f>
        <v/>
      </c>
      <c r="T19" s="7" t="n"/>
      <c r="U19" s="7" t="n"/>
      <c r="V19">
        <f>IF($E19="","",$A19&amp;"|"&amp;$S19)</f>
        <v/>
      </c>
    </row>
    <row r="20">
      <c r="A20" s="7" t="n"/>
      <c r="B20" s="8">
        <f>IF($A20="","",IFERROR(VLOOKUP($A20,PERSONEL!$A$2:$C$300,2,0),""))</f>
        <v/>
      </c>
      <c r="C20" s="9">
        <f>IF($A20="","",IFERROR(VLOOKUP($A20,PERSONEL!$A$2:$C$300,3,0),""))</f>
        <v/>
      </c>
      <c r="D20" s="10" t="n"/>
      <c r="E20" s="7" t="n"/>
      <c r="F20" s="7" t="n"/>
      <c r="G20" s="7" t="n"/>
      <c r="H20" s="7" t="n"/>
      <c r="I20" s="9" t="n"/>
      <c r="J20" s="7" t="n"/>
      <c r="K20" s="7" t="n"/>
      <c r="L20" s="7" t="n"/>
      <c r="M20" s="9" t="n"/>
      <c r="N20" s="9">
        <f>IF($E20="","",IF($S20&lt;&gt;"ÖDEMEDE",0,MIN($R20,IF($J20="Oran",IFERROR($C20*$K20/$L20,0),$M20))))</f>
        <v/>
      </c>
      <c r="O20" s="9" t="n"/>
      <c r="P20" s="9">
        <f>IF($E20="","",SUMIFS('AYLIK KESİNTİLER'!$E$2:$E$5000,'AYLIK KESİNTİLER'!$A$2:$A$5000,$A20,'AYLIK KESİNTİLER'!$B$2:$B$5000,$E20))</f>
        <v/>
      </c>
      <c r="Q20" s="9">
        <f>IF($E20="","",$O20+$P20)</f>
        <v/>
      </c>
      <c r="R20" s="9">
        <f>IF($E20="","",$I20-$Q20)</f>
        <v/>
      </c>
      <c r="S20" s="12">
        <f>IF($E20="","",IF($R20&lt;=0,"KAPANDI",IF(COUNTIFS($A$2:$A$300,$A20,$F$2:$F$300,"&lt;"&amp;$F20,$R$2:$R$300,"&gt;0")=0,"ÖDEMEDE","SIRADA")))</f>
        <v/>
      </c>
      <c r="T20" s="7" t="n"/>
      <c r="U20" s="7" t="n"/>
      <c r="V20">
        <f>IF($E20="","",$A20&amp;"|"&amp;$S20)</f>
        <v/>
      </c>
    </row>
    <row r="21">
      <c r="A21" s="7" t="n"/>
      <c r="B21" s="8">
        <f>IF($A21="","",IFERROR(VLOOKUP($A21,PERSONEL!$A$2:$C$300,2,0),""))</f>
        <v/>
      </c>
      <c r="C21" s="9">
        <f>IF($A21="","",IFERROR(VLOOKUP($A21,PERSONEL!$A$2:$C$300,3,0),""))</f>
        <v/>
      </c>
      <c r="D21" s="10" t="n"/>
      <c r="E21" s="7" t="n"/>
      <c r="F21" s="7" t="n"/>
      <c r="G21" s="7" t="n"/>
      <c r="H21" s="7" t="n"/>
      <c r="I21" s="9" t="n"/>
      <c r="J21" s="7" t="n"/>
      <c r="K21" s="7" t="n"/>
      <c r="L21" s="7" t="n"/>
      <c r="M21" s="9" t="n"/>
      <c r="N21" s="9">
        <f>IF($E21="","",IF($S21&lt;&gt;"ÖDEMEDE",0,MIN($R21,IF($J21="Oran",IFERROR($C21*$K21/$L21,0),$M21))))</f>
        <v/>
      </c>
      <c r="O21" s="9" t="n"/>
      <c r="P21" s="9">
        <f>IF($E21="","",SUMIFS('AYLIK KESİNTİLER'!$E$2:$E$5000,'AYLIK KESİNTİLER'!$A$2:$A$5000,$A21,'AYLIK KESİNTİLER'!$B$2:$B$5000,$E21))</f>
        <v/>
      </c>
      <c r="Q21" s="9">
        <f>IF($E21="","",$O21+$P21)</f>
        <v/>
      </c>
      <c r="R21" s="9">
        <f>IF($E21="","",$I21-$Q21)</f>
        <v/>
      </c>
      <c r="S21" s="12">
        <f>IF($E21="","",IF($R21&lt;=0,"KAPANDI",IF(COUNTIFS($A$2:$A$300,$A21,$F$2:$F$300,"&lt;"&amp;$F21,$R$2:$R$300,"&gt;0")=0,"ÖDEMEDE","SIRADA")))</f>
        <v/>
      </c>
      <c r="T21" s="7" t="n"/>
      <c r="U21" s="7" t="n"/>
      <c r="V21">
        <f>IF($E21="","",$A21&amp;"|"&amp;$S21)</f>
        <v/>
      </c>
    </row>
    <row r="22">
      <c r="A22" s="7" t="n"/>
      <c r="B22" s="8">
        <f>IF($A22="","",IFERROR(VLOOKUP($A22,PERSONEL!$A$2:$C$300,2,0),""))</f>
        <v/>
      </c>
      <c r="C22" s="9">
        <f>IF($A22="","",IFERROR(VLOOKUP($A22,PERSONEL!$A$2:$C$300,3,0),""))</f>
        <v/>
      </c>
      <c r="D22" s="10" t="n"/>
      <c r="E22" s="7" t="n"/>
      <c r="F22" s="7" t="n"/>
      <c r="G22" s="7" t="n"/>
      <c r="H22" s="7" t="n"/>
      <c r="I22" s="9" t="n"/>
      <c r="J22" s="7" t="n"/>
      <c r="K22" s="7" t="n"/>
      <c r="L22" s="7" t="n"/>
      <c r="M22" s="9" t="n"/>
      <c r="N22" s="9">
        <f>IF($E22="","",IF($S22&lt;&gt;"ÖDEMEDE",0,MIN($R22,IF($J22="Oran",IFERROR($C22*$K22/$L22,0),$M22))))</f>
        <v/>
      </c>
      <c r="O22" s="9" t="n"/>
      <c r="P22" s="9">
        <f>IF($E22="","",SUMIFS('AYLIK KESİNTİLER'!$E$2:$E$5000,'AYLIK KESİNTİLER'!$A$2:$A$5000,$A22,'AYLIK KESİNTİLER'!$B$2:$B$5000,$E22))</f>
        <v/>
      </c>
      <c r="Q22" s="9">
        <f>IF($E22="","",$O22+$P22)</f>
        <v/>
      </c>
      <c r="R22" s="9">
        <f>IF($E22="","",$I22-$Q22)</f>
        <v/>
      </c>
      <c r="S22" s="12">
        <f>IF($E22="","",IF($R22&lt;=0,"KAPANDI",IF(COUNTIFS($A$2:$A$300,$A22,$F$2:$F$300,"&lt;"&amp;$F22,$R$2:$R$300,"&gt;0")=0,"ÖDEMEDE","SIRADA")))</f>
        <v/>
      </c>
      <c r="T22" s="7" t="n"/>
      <c r="U22" s="7" t="n"/>
      <c r="V22">
        <f>IF($E22="","",$A22&amp;"|"&amp;$S22)</f>
        <v/>
      </c>
    </row>
    <row r="23">
      <c r="A23" s="7" t="n"/>
      <c r="B23" s="8">
        <f>IF($A23="","",IFERROR(VLOOKUP($A23,PERSONEL!$A$2:$C$300,2,0),""))</f>
        <v/>
      </c>
      <c r="C23" s="9">
        <f>IF($A23="","",IFERROR(VLOOKUP($A23,PERSONEL!$A$2:$C$300,3,0),""))</f>
        <v/>
      </c>
      <c r="D23" s="10" t="n"/>
      <c r="E23" s="7" t="n"/>
      <c r="F23" s="7" t="n"/>
      <c r="G23" s="7" t="n"/>
      <c r="H23" s="7" t="n"/>
      <c r="I23" s="9" t="n"/>
      <c r="J23" s="7" t="n"/>
      <c r="K23" s="7" t="n"/>
      <c r="L23" s="7" t="n"/>
      <c r="M23" s="9" t="n"/>
      <c r="N23" s="9">
        <f>IF($E23="","",IF($S23&lt;&gt;"ÖDEMEDE",0,MIN($R23,IF($J23="Oran",IFERROR($C23*$K23/$L23,0),$M23))))</f>
        <v/>
      </c>
      <c r="O23" s="9" t="n"/>
      <c r="P23" s="9">
        <f>IF($E23="","",SUMIFS('AYLIK KESİNTİLER'!$E$2:$E$5000,'AYLIK KESİNTİLER'!$A$2:$A$5000,$A23,'AYLIK KESİNTİLER'!$B$2:$B$5000,$E23))</f>
        <v/>
      </c>
      <c r="Q23" s="9">
        <f>IF($E23="","",$O23+$P23)</f>
        <v/>
      </c>
      <c r="R23" s="9">
        <f>IF($E23="","",$I23-$Q23)</f>
        <v/>
      </c>
      <c r="S23" s="12">
        <f>IF($E23="","",IF($R23&lt;=0,"KAPANDI",IF(COUNTIFS($A$2:$A$300,$A23,$F$2:$F$300,"&lt;"&amp;$F23,$R$2:$R$300,"&gt;0")=0,"ÖDEMEDE","SIRADA")))</f>
        <v/>
      </c>
      <c r="T23" s="7" t="n"/>
      <c r="U23" s="7" t="n"/>
      <c r="V23">
        <f>IF($E23="","",$A23&amp;"|"&amp;$S23)</f>
        <v/>
      </c>
    </row>
    <row r="24">
      <c r="A24" s="7" t="n"/>
      <c r="B24" s="8">
        <f>IF($A24="","",IFERROR(VLOOKUP($A24,PERSONEL!$A$2:$C$300,2,0),""))</f>
        <v/>
      </c>
      <c r="C24" s="9">
        <f>IF($A24="","",IFERROR(VLOOKUP($A24,PERSONEL!$A$2:$C$300,3,0),""))</f>
        <v/>
      </c>
      <c r="D24" s="10" t="n"/>
      <c r="E24" s="7" t="n"/>
      <c r="F24" s="7" t="n"/>
      <c r="G24" s="7" t="n"/>
      <c r="H24" s="7" t="n"/>
      <c r="I24" s="9" t="n"/>
      <c r="J24" s="7" t="n"/>
      <c r="K24" s="7" t="n"/>
      <c r="L24" s="7" t="n"/>
      <c r="M24" s="9" t="n"/>
      <c r="N24" s="9">
        <f>IF($E24="","",IF($S24&lt;&gt;"ÖDEMEDE",0,MIN($R24,IF($J24="Oran",IFERROR($C24*$K24/$L24,0),$M24))))</f>
        <v/>
      </c>
      <c r="O24" s="9" t="n"/>
      <c r="P24" s="9">
        <f>IF($E24="","",SUMIFS('AYLIK KESİNTİLER'!$E$2:$E$5000,'AYLIK KESİNTİLER'!$A$2:$A$5000,$A24,'AYLIK KESİNTİLER'!$B$2:$B$5000,$E24))</f>
        <v/>
      </c>
      <c r="Q24" s="9">
        <f>IF($E24="","",$O24+$P24)</f>
        <v/>
      </c>
      <c r="R24" s="9">
        <f>IF($E24="","",$I24-$Q24)</f>
        <v/>
      </c>
      <c r="S24" s="12">
        <f>IF($E24="","",IF($R24&lt;=0,"KAPANDI",IF(COUNTIFS($A$2:$A$300,$A24,$F$2:$F$300,"&lt;"&amp;$F24,$R$2:$R$300,"&gt;0")=0,"ÖDEMEDE","SIRADA")))</f>
        <v/>
      </c>
      <c r="T24" s="7" t="n"/>
      <c r="U24" s="7" t="n"/>
      <c r="V24">
        <f>IF($E24="","",$A24&amp;"|"&amp;$S24)</f>
        <v/>
      </c>
    </row>
    <row r="25">
      <c r="A25" s="7" t="n"/>
      <c r="B25" s="8">
        <f>IF($A25="","",IFERROR(VLOOKUP($A25,PERSONEL!$A$2:$C$300,2,0),""))</f>
        <v/>
      </c>
      <c r="C25" s="9">
        <f>IF($A25="","",IFERROR(VLOOKUP($A25,PERSONEL!$A$2:$C$300,3,0),""))</f>
        <v/>
      </c>
      <c r="D25" s="10" t="n"/>
      <c r="E25" s="7" t="n"/>
      <c r="F25" s="7" t="n"/>
      <c r="G25" s="7" t="n"/>
      <c r="H25" s="7" t="n"/>
      <c r="I25" s="9" t="n"/>
      <c r="J25" s="7" t="n"/>
      <c r="K25" s="7" t="n"/>
      <c r="L25" s="7" t="n"/>
      <c r="M25" s="9" t="n"/>
      <c r="N25" s="9">
        <f>IF($E25="","",IF($S25&lt;&gt;"ÖDEMEDE",0,MIN($R25,IF($J25="Oran",IFERROR($C25*$K25/$L25,0),$M25))))</f>
        <v/>
      </c>
      <c r="O25" s="9" t="n"/>
      <c r="P25" s="9">
        <f>IF($E25="","",SUMIFS('AYLIK KESİNTİLER'!$E$2:$E$5000,'AYLIK KESİNTİLER'!$A$2:$A$5000,$A25,'AYLIK KESİNTİLER'!$B$2:$B$5000,$E25))</f>
        <v/>
      </c>
      <c r="Q25" s="9">
        <f>IF($E25="","",$O25+$P25)</f>
        <v/>
      </c>
      <c r="R25" s="9">
        <f>IF($E25="","",$I25-$Q25)</f>
        <v/>
      </c>
      <c r="S25" s="12">
        <f>IF($E25="","",IF($R25&lt;=0,"KAPANDI",IF(COUNTIFS($A$2:$A$300,$A25,$F$2:$F$300,"&lt;"&amp;$F25,$R$2:$R$300,"&gt;0")=0,"ÖDEMEDE","SIRADA")))</f>
        <v/>
      </c>
      <c r="T25" s="7" t="n"/>
      <c r="U25" s="7" t="n"/>
      <c r="V25">
        <f>IF($E25="","",$A25&amp;"|"&amp;$S25)</f>
        <v/>
      </c>
    </row>
    <row r="26">
      <c r="A26" s="7" t="n"/>
      <c r="B26" s="8">
        <f>IF($A26="","",IFERROR(VLOOKUP($A26,PERSONEL!$A$2:$C$300,2,0),""))</f>
        <v/>
      </c>
      <c r="C26" s="9">
        <f>IF($A26="","",IFERROR(VLOOKUP($A26,PERSONEL!$A$2:$C$300,3,0),""))</f>
        <v/>
      </c>
      <c r="D26" s="10" t="n"/>
      <c r="E26" s="7" t="n"/>
      <c r="F26" s="7" t="n"/>
      <c r="G26" s="7" t="n"/>
      <c r="H26" s="7" t="n"/>
      <c r="I26" s="9" t="n"/>
      <c r="J26" s="7" t="n"/>
      <c r="K26" s="7" t="n"/>
      <c r="L26" s="7" t="n"/>
      <c r="M26" s="9" t="n"/>
      <c r="N26" s="9">
        <f>IF($E26="","",IF($S26&lt;&gt;"ÖDEMEDE",0,MIN($R26,IF($J26="Oran",IFERROR($C26*$K26/$L26,0),$M26))))</f>
        <v/>
      </c>
      <c r="O26" s="9" t="n"/>
      <c r="P26" s="9">
        <f>IF($E26="","",SUMIFS('AYLIK KESİNTİLER'!$E$2:$E$5000,'AYLIK KESİNTİLER'!$A$2:$A$5000,$A26,'AYLIK KESİNTİLER'!$B$2:$B$5000,$E26))</f>
        <v/>
      </c>
      <c r="Q26" s="9">
        <f>IF($E26="","",$O26+$P26)</f>
        <v/>
      </c>
      <c r="R26" s="9">
        <f>IF($E26="","",$I26-$Q26)</f>
        <v/>
      </c>
      <c r="S26" s="12">
        <f>IF($E26="","",IF($R26&lt;=0,"KAPANDI",IF(COUNTIFS($A$2:$A$300,$A26,$F$2:$F$300,"&lt;"&amp;$F26,$R$2:$R$300,"&gt;0")=0,"ÖDEMEDE","SIRADA")))</f>
        <v/>
      </c>
      <c r="T26" s="7" t="n"/>
      <c r="U26" s="7" t="n"/>
      <c r="V26">
        <f>IF($E26="","",$A26&amp;"|"&amp;$S26)</f>
        <v/>
      </c>
    </row>
    <row r="27">
      <c r="A27" s="7" t="n"/>
      <c r="B27" s="8">
        <f>IF($A27="","",IFERROR(VLOOKUP($A27,PERSONEL!$A$2:$C$300,2,0),""))</f>
        <v/>
      </c>
      <c r="C27" s="9">
        <f>IF($A27="","",IFERROR(VLOOKUP($A27,PERSONEL!$A$2:$C$300,3,0),""))</f>
        <v/>
      </c>
      <c r="D27" s="10" t="n"/>
      <c r="E27" s="7" t="n"/>
      <c r="F27" s="7" t="n"/>
      <c r="G27" s="7" t="n"/>
      <c r="H27" s="7" t="n"/>
      <c r="I27" s="9" t="n"/>
      <c r="J27" s="7" t="n"/>
      <c r="K27" s="7" t="n"/>
      <c r="L27" s="7" t="n"/>
      <c r="M27" s="9" t="n"/>
      <c r="N27" s="9">
        <f>IF($E27="","",IF($S27&lt;&gt;"ÖDEMEDE",0,MIN($R27,IF($J27="Oran",IFERROR($C27*$K27/$L27,0),$M27))))</f>
        <v/>
      </c>
      <c r="O27" s="9" t="n"/>
      <c r="P27" s="9">
        <f>IF($E27="","",SUMIFS('AYLIK KESİNTİLER'!$E$2:$E$5000,'AYLIK KESİNTİLER'!$A$2:$A$5000,$A27,'AYLIK KESİNTİLER'!$B$2:$B$5000,$E27))</f>
        <v/>
      </c>
      <c r="Q27" s="9">
        <f>IF($E27="","",$O27+$P27)</f>
        <v/>
      </c>
      <c r="R27" s="9">
        <f>IF($E27="","",$I27-$Q27)</f>
        <v/>
      </c>
      <c r="S27" s="12">
        <f>IF($E27="","",IF($R27&lt;=0,"KAPANDI",IF(COUNTIFS($A$2:$A$300,$A27,$F$2:$F$300,"&lt;"&amp;$F27,$R$2:$R$300,"&gt;0")=0,"ÖDEMEDE","SIRADA")))</f>
        <v/>
      </c>
      <c r="T27" s="7" t="n"/>
      <c r="U27" s="7" t="n"/>
      <c r="V27">
        <f>IF($E27="","",$A27&amp;"|"&amp;$S27)</f>
        <v/>
      </c>
    </row>
    <row r="28">
      <c r="A28" s="7" t="n"/>
      <c r="B28" s="8">
        <f>IF($A28="","",IFERROR(VLOOKUP($A28,PERSONEL!$A$2:$C$300,2,0),""))</f>
        <v/>
      </c>
      <c r="C28" s="9">
        <f>IF($A28="","",IFERROR(VLOOKUP($A28,PERSONEL!$A$2:$C$300,3,0),""))</f>
        <v/>
      </c>
      <c r="D28" s="10" t="n"/>
      <c r="E28" s="7" t="n"/>
      <c r="F28" s="7" t="n"/>
      <c r="G28" s="7" t="n"/>
      <c r="H28" s="7" t="n"/>
      <c r="I28" s="9" t="n"/>
      <c r="J28" s="7" t="n"/>
      <c r="K28" s="7" t="n"/>
      <c r="L28" s="7" t="n"/>
      <c r="M28" s="9" t="n"/>
      <c r="N28" s="9">
        <f>IF($E28="","",IF($S28&lt;&gt;"ÖDEMEDE",0,MIN($R28,IF($J28="Oran",IFERROR($C28*$K28/$L28,0),$M28))))</f>
        <v/>
      </c>
      <c r="O28" s="9" t="n"/>
      <c r="P28" s="9">
        <f>IF($E28="","",SUMIFS('AYLIK KESİNTİLER'!$E$2:$E$5000,'AYLIK KESİNTİLER'!$A$2:$A$5000,$A28,'AYLIK KESİNTİLER'!$B$2:$B$5000,$E28))</f>
        <v/>
      </c>
      <c r="Q28" s="9">
        <f>IF($E28="","",$O28+$P28)</f>
        <v/>
      </c>
      <c r="R28" s="9">
        <f>IF($E28="","",$I28-$Q28)</f>
        <v/>
      </c>
      <c r="S28" s="12">
        <f>IF($E28="","",IF($R28&lt;=0,"KAPANDI",IF(COUNTIFS($A$2:$A$300,$A28,$F$2:$F$300,"&lt;"&amp;$F28,$R$2:$R$300,"&gt;0")=0,"ÖDEMEDE","SIRADA")))</f>
        <v/>
      </c>
      <c r="T28" s="7" t="n"/>
      <c r="U28" s="7" t="n"/>
      <c r="V28">
        <f>IF($E28="","",$A28&amp;"|"&amp;$S28)</f>
        <v/>
      </c>
    </row>
    <row r="29">
      <c r="A29" s="7" t="n"/>
      <c r="B29" s="8">
        <f>IF($A29="","",IFERROR(VLOOKUP($A29,PERSONEL!$A$2:$C$300,2,0),""))</f>
        <v/>
      </c>
      <c r="C29" s="9">
        <f>IF($A29="","",IFERROR(VLOOKUP($A29,PERSONEL!$A$2:$C$300,3,0),""))</f>
        <v/>
      </c>
      <c r="D29" s="10" t="n"/>
      <c r="E29" s="7" t="n"/>
      <c r="F29" s="7" t="n"/>
      <c r="G29" s="7" t="n"/>
      <c r="H29" s="7" t="n"/>
      <c r="I29" s="9" t="n"/>
      <c r="J29" s="7" t="n"/>
      <c r="K29" s="7" t="n"/>
      <c r="L29" s="7" t="n"/>
      <c r="M29" s="9" t="n"/>
      <c r="N29" s="9">
        <f>IF($E29="","",IF($S29&lt;&gt;"ÖDEMEDE",0,MIN($R29,IF($J29="Oran",IFERROR($C29*$K29/$L29,0),$M29))))</f>
        <v/>
      </c>
      <c r="O29" s="9" t="n"/>
      <c r="P29" s="9">
        <f>IF($E29="","",SUMIFS('AYLIK KESİNTİLER'!$E$2:$E$5000,'AYLIK KESİNTİLER'!$A$2:$A$5000,$A29,'AYLIK KESİNTİLER'!$B$2:$B$5000,$E29))</f>
        <v/>
      </c>
      <c r="Q29" s="9">
        <f>IF($E29="","",$O29+$P29)</f>
        <v/>
      </c>
      <c r="R29" s="9">
        <f>IF($E29="","",$I29-$Q29)</f>
        <v/>
      </c>
      <c r="S29" s="12">
        <f>IF($E29="","",IF($R29&lt;=0,"KAPANDI",IF(COUNTIFS($A$2:$A$300,$A29,$F$2:$F$300,"&lt;"&amp;$F29,$R$2:$R$300,"&gt;0")=0,"ÖDEMEDE","SIRADA")))</f>
        <v/>
      </c>
      <c r="T29" s="7" t="n"/>
      <c r="U29" s="7" t="n"/>
      <c r="V29">
        <f>IF($E29="","",$A29&amp;"|"&amp;$S29)</f>
        <v/>
      </c>
    </row>
    <row r="30">
      <c r="A30" s="7" t="n"/>
      <c r="B30" s="8">
        <f>IF($A30="","",IFERROR(VLOOKUP($A30,PERSONEL!$A$2:$C$300,2,0),""))</f>
        <v/>
      </c>
      <c r="C30" s="9">
        <f>IF($A30="","",IFERROR(VLOOKUP($A30,PERSONEL!$A$2:$C$300,3,0),""))</f>
        <v/>
      </c>
      <c r="D30" s="10" t="n"/>
      <c r="E30" s="7" t="n"/>
      <c r="F30" s="7" t="n"/>
      <c r="G30" s="7" t="n"/>
      <c r="H30" s="7" t="n"/>
      <c r="I30" s="9" t="n"/>
      <c r="J30" s="7" t="n"/>
      <c r="K30" s="7" t="n"/>
      <c r="L30" s="7" t="n"/>
      <c r="M30" s="9" t="n"/>
      <c r="N30" s="9">
        <f>IF($E30="","",IF($S30&lt;&gt;"ÖDEMEDE",0,MIN($R30,IF($J30="Oran",IFERROR($C30*$K30/$L30,0),$M30))))</f>
        <v/>
      </c>
      <c r="O30" s="9" t="n"/>
      <c r="P30" s="9">
        <f>IF($E30="","",SUMIFS('AYLIK KESİNTİLER'!$E$2:$E$5000,'AYLIK KESİNTİLER'!$A$2:$A$5000,$A30,'AYLIK KESİNTİLER'!$B$2:$B$5000,$E30))</f>
        <v/>
      </c>
      <c r="Q30" s="9">
        <f>IF($E30="","",$O30+$P30)</f>
        <v/>
      </c>
      <c r="R30" s="9">
        <f>IF($E30="","",$I30-$Q30)</f>
        <v/>
      </c>
      <c r="S30" s="12">
        <f>IF($E30="","",IF($R30&lt;=0,"KAPANDI",IF(COUNTIFS($A$2:$A$300,$A30,$F$2:$F$300,"&lt;"&amp;$F30,$R$2:$R$300,"&gt;0")=0,"ÖDEMEDE","SIRADA")))</f>
        <v/>
      </c>
      <c r="T30" s="7" t="n"/>
      <c r="U30" s="7" t="n"/>
      <c r="V30">
        <f>IF($E30="","",$A30&amp;"|"&amp;$S30)</f>
        <v/>
      </c>
    </row>
    <row r="31">
      <c r="A31" s="7" t="n"/>
      <c r="B31" s="8">
        <f>IF($A31="","",IFERROR(VLOOKUP($A31,PERSONEL!$A$2:$C$300,2,0),""))</f>
        <v/>
      </c>
      <c r="C31" s="9">
        <f>IF($A31="","",IFERROR(VLOOKUP($A31,PERSONEL!$A$2:$C$300,3,0),""))</f>
        <v/>
      </c>
      <c r="D31" s="10" t="n"/>
      <c r="E31" s="7" t="n"/>
      <c r="F31" s="7" t="n"/>
      <c r="G31" s="7" t="n"/>
      <c r="H31" s="7" t="n"/>
      <c r="I31" s="9" t="n"/>
      <c r="J31" s="7" t="n"/>
      <c r="K31" s="7" t="n"/>
      <c r="L31" s="7" t="n"/>
      <c r="M31" s="9" t="n"/>
      <c r="N31" s="9">
        <f>IF($E31="","",IF($S31&lt;&gt;"ÖDEMEDE",0,MIN($R31,IF($J31="Oran",IFERROR($C31*$K31/$L31,0),$M31))))</f>
        <v/>
      </c>
      <c r="O31" s="9" t="n"/>
      <c r="P31" s="9">
        <f>IF($E31="","",SUMIFS('AYLIK KESİNTİLER'!$E$2:$E$5000,'AYLIK KESİNTİLER'!$A$2:$A$5000,$A31,'AYLIK KESİNTİLER'!$B$2:$B$5000,$E31))</f>
        <v/>
      </c>
      <c r="Q31" s="9">
        <f>IF($E31="","",$O31+$P31)</f>
        <v/>
      </c>
      <c r="R31" s="9">
        <f>IF($E31="","",$I31-$Q31)</f>
        <v/>
      </c>
      <c r="S31" s="12">
        <f>IF($E31="","",IF($R31&lt;=0,"KAPANDI",IF(COUNTIFS($A$2:$A$300,$A31,$F$2:$F$300,"&lt;"&amp;$F31,$R$2:$R$300,"&gt;0")=0,"ÖDEMEDE","SIRADA")))</f>
        <v/>
      </c>
      <c r="T31" s="7" t="n"/>
      <c r="U31" s="7" t="n"/>
      <c r="V31">
        <f>IF($E31="","",$A31&amp;"|"&amp;$S31)</f>
        <v/>
      </c>
    </row>
    <row r="32">
      <c r="A32" s="7" t="n"/>
      <c r="B32" s="8">
        <f>IF($A32="","",IFERROR(VLOOKUP($A32,PERSONEL!$A$2:$C$300,2,0),""))</f>
        <v/>
      </c>
      <c r="C32" s="9">
        <f>IF($A32="","",IFERROR(VLOOKUP($A32,PERSONEL!$A$2:$C$300,3,0),""))</f>
        <v/>
      </c>
      <c r="D32" s="10" t="n"/>
      <c r="E32" s="7" t="n"/>
      <c r="F32" s="7" t="n"/>
      <c r="G32" s="7" t="n"/>
      <c r="H32" s="7" t="n"/>
      <c r="I32" s="9" t="n"/>
      <c r="J32" s="7" t="n"/>
      <c r="K32" s="7" t="n"/>
      <c r="L32" s="7" t="n"/>
      <c r="M32" s="9" t="n"/>
      <c r="N32" s="9">
        <f>IF($E32="","",IF($S32&lt;&gt;"ÖDEMEDE",0,MIN($R32,IF($J32="Oran",IFERROR($C32*$K32/$L32,0),$M32))))</f>
        <v/>
      </c>
      <c r="O32" s="9" t="n"/>
      <c r="P32" s="9">
        <f>IF($E32="","",SUMIFS('AYLIK KESİNTİLER'!$E$2:$E$5000,'AYLIK KESİNTİLER'!$A$2:$A$5000,$A32,'AYLIK KESİNTİLER'!$B$2:$B$5000,$E32))</f>
        <v/>
      </c>
      <c r="Q32" s="9">
        <f>IF($E32="","",$O32+$P32)</f>
        <v/>
      </c>
      <c r="R32" s="9">
        <f>IF($E32="","",$I32-$Q32)</f>
        <v/>
      </c>
      <c r="S32" s="12">
        <f>IF($E32="","",IF($R32&lt;=0,"KAPANDI",IF(COUNTIFS($A$2:$A$300,$A32,$F$2:$F$300,"&lt;"&amp;$F32,$R$2:$R$300,"&gt;0")=0,"ÖDEMEDE","SIRADA")))</f>
        <v/>
      </c>
      <c r="T32" s="7" t="n"/>
      <c r="U32" s="7" t="n"/>
      <c r="V32">
        <f>IF($E32="","",$A32&amp;"|"&amp;$S32)</f>
        <v/>
      </c>
    </row>
    <row r="33">
      <c r="A33" s="7" t="n"/>
      <c r="B33" s="8">
        <f>IF($A33="","",IFERROR(VLOOKUP($A33,PERSONEL!$A$2:$C$300,2,0),""))</f>
        <v/>
      </c>
      <c r="C33" s="9">
        <f>IF($A33="","",IFERROR(VLOOKUP($A33,PERSONEL!$A$2:$C$300,3,0),""))</f>
        <v/>
      </c>
      <c r="D33" s="10" t="n"/>
      <c r="E33" s="7" t="n"/>
      <c r="F33" s="7" t="n"/>
      <c r="G33" s="7" t="n"/>
      <c r="H33" s="7" t="n"/>
      <c r="I33" s="9" t="n"/>
      <c r="J33" s="7" t="n"/>
      <c r="K33" s="7" t="n"/>
      <c r="L33" s="7" t="n"/>
      <c r="M33" s="9" t="n"/>
      <c r="N33" s="9">
        <f>IF($E33="","",IF($S33&lt;&gt;"ÖDEMEDE",0,MIN($R33,IF($J33="Oran",IFERROR($C33*$K33/$L33,0),$M33))))</f>
        <v/>
      </c>
      <c r="O33" s="9" t="n"/>
      <c r="P33" s="9">
        <f>IF($E33="","",SUMIFS('AYLIK KESİNTİLER'!$E$2:$E$5000,'AYLIK KESİNTİLER'!$A$2:$A$5000,$A33,'AYLIK KESİNTİLER'!$B$2:$B$5000,$E33))</f>
        <v/>
      </c>
      <c r="Q33" s="9">
        <f>IF($E33="","",$O33+$P33)</f>
        <v/>
      </c>
      <c r="R33" s="9">
        <f>IF($E33="","",$I33-$Q33)</f>
        <v/>
      </c>
      <c r="S33" s="12">
        <f>IF($E33="","",IF($R33&lt;=0,"KAPANDI",IF(COUNTIFS($A$2:$A$300,$A33,$F$2:$F$300,"&lt;"&amp;$F33,$R$2:$R$300,"&gt;0")=0,"ÖDEMEDE","SIRADA")))</f>
        <v/>
      </c>
      <c r="T33" s="7" t="n"/>
      <c r="U33" s="7" t="n"/>
      <c r="V33">
        <f>IF($E33="","",$A33&amp;"|"&amp;$S33)</f>
        <v/>
      </c>
    </row>
    <row r="34">
      <c r="A34" s="7" t="n"/>
      <c r="B34" s="8">
        <f>IF($A34="","",IFERROR(VLOOKUP($A34,PERSONEL!$A$2:$C$300,2,0),""))</f>
        <v/>
      </c>
      <c r="C34" s="9">
        <f>IF($A34="","",IFERROR(VLOOKUP($A34,PERSONEL!$A$2:$C$300,3,0),""))</f>
        <v/>
      </c>
      <c r="D34" s="10" t="n"/>
      <c r="E34" s="7" t="n"/>
      <c r="F34" s="7" t="n"/>
      <c r="G34" s="7" t="n"/>
      <c r="H34" s="7" t="n"/>
      <c r="I34" s="9" t="n"/>
      <c r="J34" s="7" t="n"/>
      <c r="K34" s="7" t="n"/>
      <c r="L34" s="7" t="n"/>
      <c r="M34" s="9" t="n"/>
      <c r="N34" s="9">
        <f>IF($E34="","",IF($S34&lt;&gt;"ÖDEMEDE",0,MIN($R34,IF($J34="Oran",IFERROR($C34*$K34/$L34,0),$M34))))</f>
        <v/>
      </c>
      <c r="O34" s="9" t="n"/>
      <c r="P34" s="9">
        <f>IF($E34="","",SUMIFS('AYLIK KESİNTİLER'!$E$2:$E$5000,'AYLIK KESİNTİLER'!$A$2:$A$5000,$A34,'AYLIK KESİNTİLER'!$B$2:$B$5000,$E34))</f>
        <v/>
      </c>
      <c r="Q34" s="9">
        <f>IF($E34="","",$O34+$P34)</f>
        <v/>
      </c>
      <c r="R34" s="9">
        <f>IF($E34="","",$I34-$Q34)</f>
        <v/>
      </c>
      <c r="S34" s="12">
        <f>IF($E34="","",IF($R34&lt;=0,"KAPANDI",IF(COUNTIFS($A$2:$A$300,$A34,$F$2:$F$300,"&lt;"&amp;$F34,$R$2:$R$300,"&gt;0")=0,"ÖDEMEDE","SIRADA")))</f>
        <v/>
      </c>
      <c r="T34" s="7" t="n"/>
      <c r="U34" s="7" t="n"/>
      <c r="V34">
        <f>IF($E34="","",$A34&amp;"|"&amp;$S34)</f>
        <v/>
      </c>
    </row>
    <row r="35">
      <c r="A35" s="7" t="n"/>
      <c r="B35" s="8">
        <f>IF($A35="","",IFERROR(VLOOKUP($A35,PERSONEL!$A$2:$C$300,2,0),""))</f>
        <v/>
      </c>
      <c r="C35" s="9">
        <f>IF($A35="","",IFERROR(VLOOKUP($A35,PERSONEL!$A$2:$C$300,3,0),""))</f>
        <v/>
      </c>
      <c r="D35" s="10" t="n"/>
      <c r="E35" s="7" t="n"/>
      <c r="F35" s="7" t="n"/>
      <c r="G35" s="7" t="n"/>
      <c r="H35" s="7" t="n"/>
      <c r="I35" s="9" t="n"/>
      <c r="J35" s="7" t="n"/>
      <c r="K35" s="7" t="n"/>
      <c r="L35" s="7" t="n"/>
      <c r="M35" s="9" t="n"/>
      <c r="N35" s="9">
        <f>IF($E35="","",IF($S35&lt;&gt;"ÖDEMEDE",0,MIN($R35,IF($J35="Oran",IFERROR($C35*$K35/$L35,0),$M35))))</f>
        <v/>
      </c>
      <c r="O35" s="9" t="n"/>
      <c r="P35" s="9">
        <f>IF($E35="","",SUMIFS('AYLIK KESİNTİLER'!$E$2:$E$5000,'AYLIK KESİNTİLER'!$A$2:$A$5000,$A35,'AYLIK KESİNTİLER'!$B$2:$B$5000,$E35))</f>
        <v/>
      </c>
      <c r="Q35" s="9">
        <f>IF($E35="","",$O35+$P35)</f>
        <v/>
      </c>
      <c r="R35" s="9">
        <f>IF($E35="","",$I35-$Q35)</f>
        <v/>
      </c>
      <c r="S35" s="12">
        <f>IF($E35="","",IF($R35&lt;=0,"KAPANDI",IF(COUNTIFS($A$2:$A$300,$A35,$F$2:$F$300,"&lt;"&amp;$F35,$R$2:$R$300,"&gt;0")=0,"ÖDEMEDE","SIRADA")))</f>
        <v/>
      </c>
      <c r="T35" s="7" t="n"/>
      <c r="U35" s="7" t="n"/>
      <c r="V35">
        <f>IF($E35="","",$A35&amp;"|"&amp;$S35)</f>
        <v/>
      </c>
    </row>
    <row r="36">
      <c r="A36" s="7" t="n"/>
      <c r="B36" s="8">
        <f>IF($A36="","",IFERROR(VLOOKUP($A36,PERSONEL!$A$2:$C$300,2,0),""))</f>
        <v/>
      </c>
      <c r="C36" s="9">
        <f>IF($A36="","",IFERROR(VLOOKUP($A36,PERSONEL!$A$2:$C$300,3,0),""))</f>
        <v/>
      </c>
      <c r="D36" s="10" t="n"/>
      <c r="E36" s="7" t="n"/>
      <c r="F36" s="7" t="n"/>
      <c r="G36" s="7" t="n"/>
      <c r="H36" s="7" t="n"/>
      <c r="I36" s="9" t="n"/>
      <c r="J36" s="7" t="n"/>
      <c r="K36" s="7" t="n"/>
      <c r="L36" s="7" t="n"/>
      <c r="M36" s="9" t="n"/>
      <c r="N36" s="9">
        <f>IF($E36="","",IF($S36&lt;&gt;"ÖDEMEDE",0,MIN($R36,IF($J36="Oran",IFERROR($C36*$K36/$L36,0),$M36))))</f>
        <v/>
      </c>
      <c r="O36" s="9" t="n"/>
      <c r="P36" s="9">
        <f>IF($E36="","",SUMIFS('AYLIK KESİNTİLER'!$E$2:$E$5000,'AYLIK KESİNTİLER'!$A$2:$A$5000,$A36,'AYLIK KESİNTİLER'!$B$2:$B$5000,$E36))</f>
        <v/>
      </c>
      <c r="Q36" s="9">
        <f>IF($E36="","",$O36+$P36)</f>
        <v/>
      </c>
      <c r="R36" s="9">
        <f>IF($E36="","",$I36-$Q36)</f>
        <v/>
      </c>
      <c r="S36" s="12">
        <f>IF($E36="","",IF($R36&lt;=0,"KAPANDI",IF(COUNTIFS($A$2:$A$300,$A36,$F$2:$F$300,"&lt;"&amp;$F36,$R$2:$R$300,"&gt;0")=0,"ÖDEMEDE","SIRADA")))</f>
        <v/>
      </c>
      <c r="T36" s="7" t="n"/>
      <c r="U36" s="7" t="n"/>
      <c r="V36">
        <f>IF($E36="","",$A36&amp;"|"&amp;$S36)</f>
        <v/>
      </c>
    </row>
    <row r="37">
      <c r="A37" s="7" t="n"/>
      <c r="B37" s="8">
        <f>IF($A37="","",IFERROR(VLOOKUP($A37,PERSONEL!$A$2:$C$300,2,0),""))</f>
        <v/>
      </c>
      <c r="C37" s="9">
        <f>IF($A37="","",IFERROR(VLOOKUP($A37,PERSONEL!$A$2:$C$300,3,0),""))</f>
        <v/>
      </c>
      <c r="D37" s="10" t="n"/>
      <c r="E37" s="7" t="n"/>
      <c r="F37" s="7" t="n"/>
      <c r="G37" s="7" t="n"/>
      <c r="H37" s="7" t="n"/>
      <c r="I37" s="9" t="n"/>
      <c r="J37" s="7" t="n"/>
      <c r="K37" s="7" t="n"/>
      <c r="L37" s="7" t="n"/>
      <c r="M37" s="9" t="n"/>
      <c r="N37" s="9">
        <f>IF($E37="","",IF($S37&lt;&gt;"ÖDEMEDE",0,MIN($R37,IF($J37="Oran",IFERROR($C37*$K37/$L37,0),$M37))))</f>
        <v/>
      </c>
      <c r="O37" s="9" t="n"/>
      <c r="P37" s="9">
        <f>IF($E37="","",SUMIFS('AYLIK KESİNTİLER'!$E$2:$E$5000,'AYLIK KESİNTİLER'!$A$2:$A$5000,$A37,'AYLIK KESİNTİLER'!$B$2:$B$5000,$E37))</f>
        <v/>
      </c>
      <c r="Q37" s="9">
        <f>IF($E37="","",$O37+$P37)</f>
        <v/>
      </c>
      <c r="R37" s="9">
        <f>IF($E37="","",$I37-$Q37)</f>
        <v/>
      </c>
      <c r="S37" s="12">
        <f>IF($E37="","",IF($R37&lt;=0,"KAPANDI",IF(COUNTIFS($A$2:$A$300,$A37,$F$2:$F$300,"&lt;"&amp;$F37,$R$2:$R$300,"&gt;0")=0,"ÖDEMEDE","SIRADA")))</f>
        <v/>
      </c>
      <c r="T37" s="7" t="n"/>
      <c r="U37" s="7" t="n"/>
      <c r="V37">
        <f>IF($E37="","",$A37&amp;"|"&amp;$S37)</f>
        <v/>
      </c>
    </row>
    <row r="38">
      <c r="A38" s="7" t="n"/>
      <c r="B38" s="8">
        <f>IF($A38="","",IFERROR(VLOOKUP($A38,PERSONEL!$A$2:$C$300,2,0),""))</f>
        <v/>
      </c>
      <c r="C38" s="9">
        <f>IF($A38="","",IFERROR(VLOOKUP($A38,PERSONEL!$A$2:$C$300,3,0),""))</f>
        <v/>
      </c>
      <c r="D38" s="10" t="n"/>
      <c r="E38" s="7" t="n"/>
      <c r="F38" s="7" t="n"/>
      <c r="G38" s="7" t="n"/>
      <c r="H38" s="7" t="n"/>
      <c r="I38" s="9" t="n"/>
      <c r="J38" s="7" t="n"/>
      <c r="K38" s="7" t="n"/>
      <c r="L38" s="7" t="n"/>
      <c r="M38" s="9" t="n"/>
      <c r="N38" s="9">
        <f>IF($E38="","",IF($S38&lt;&gt;"ÖDEMEDE",0,MIN($R38,IF($J38="Oran",IFERROR($C38*$K38/$L38,0),$M38))))</f>
        <v/>
      </c>
      <c r="O38" s="9" t="n"/>
      <c r="P38" s="9">
        <f>IF($E38="","",SUMIFS('AYLIK KESİNTİLER'!$E$2:$E$5000,'AYLIK KESİNTİLER'!$A$2:$A$5000,$A38,'AYLIK KESİNTİLER'!$B$2:$B$5000,$E38))</f>
        <v/>
      </c>
      <c r="Q38" s="9">
        <f>IF($E38="","",$O38+$P38)</f>
        <v/>
      </c>
      <c r="R38" s="9">
        <f>IF($E38="","",$I38-$Q38)</f>
        <v/>
      </c>
      <c r="S38" s="12">
        <f>IF($E38="","",IF($R38&lt;=0,"KAPANDI",IF(COUNTIFS($A$2:$A$300,$A38,$F$2:$F$300,"&lt;"&amp;$F38,$R$2:$R$300,"&gt;0")=0,"ÖDEMEDE","SIRADA")))</f>
        <v/>
      </c>
      <c r="T38" s="7" t="n"/>
      <c r="U38" s="7" t="n"/>
      <c r="V38">
        <f>IF($E38="","",$A38&amp;"|"&amp;$S38)</f>
        <v/>
      </c>
    </row>
    <row r="39">
      <c r="A39" s="7" t="n"/>
      <c r="B39" s="8">
        <f>IF($A39="","",IFERROR(VLOOKUP($A39,PERSONEL!$A$2:$C$300,2,0),""))</f>
        <v/>
      </c>
      <c r="C39" s="9">
        <f>IF($A39="","",IFERROR(VLOOKUP($A39,PERSONEL!$A$2:$C$300,3,0),""))</f>
        <v/>
      </c>
      <c r="D39" s="10" t="n"/>
      <c r="E39" s="7" t="n"/>
      <c r="F39" s="7" t="n"/>
      <c r="G39" s="7" t="n"/>
      <c r="H39" s="7" t="n"/>
      <c r="I39" s="9" t="n"/>
      <c r="J39" s="7" t="n"/>
      <c r="K39" s="7" t="n"/>
      <c r="L39" s="7" t="n"/>
      <c r="M39" s="9" t="n"/>
      <c r="N39" s="9">
        <f>IF($E39="","",IF($S39&lt;&gt;"ÖDEMEDE",0,MIN($R39,IF($J39="Oran",IFERROR($C39*$K39/$L39,0),$M39))))</f>
        <v/>
      </c>
      <c r="O39" s="9" t="n"/>
      <c r="P39" s="9">
        <f>IF($E39="","",SUMIFS('AYLIK KESİNTİLER'!$E$2:$E$5000,'AYLIK KESİNTİLER'!$A$2:$A$5000,$A39,'AYLIK KESİNTİLER'!$B$2:$B$5000,$E39))</f>
        <v/>
      </c>
      <c r="Q39" s="9">
        <f>IF($E39="","",$O39+$P39)</f>
        <v/>
      </c>
      <c r="R39" s="9">
        <f>IF($E39="","",$I39-$Q39)</f>
        <v/>
      </c>
      <c r="S39" s="12">
        <f>IF($E39="","",IF($R39&lt;=0,"KAPANDI",IF(COUNTIFS($A$2:$A$300,$A39,$F$2:$F$300,"&lt;"&amp;$F39,$R$2:$R$300,"&gt;0")=0,"ÖDEMEDE","SIRADA")))</f>
        <v/>
      </c>
      <c r="T39" s="7" t="n"/>
      <c r="U39" s="7" t="n"/>
      <c r="V39">
        <f>IF($E39="","",$A39&amp;"|"&amp;$S39)</f>
        <v/>
      </c>
    </row>
    <row r="40">
      <c r="A40" s="7" t="n"/>
      <c r="B40" s="8">
        <f>IF($A40="","",IFERROR(VLOOKUP($A40,PERSONEL!$A$2:$C$300,2,0),""))</f>
        <v/>
      </c>
      <c r="C40" s="9">
        <f>IF($A40="","",IFERROR(VLOOKUP($A40,PERSONEL!$A$2:$C$300,3,0),""))</f>
        <v/>
      </c>
      <c r="D40" s="10" t="n"/>
      <c r="E40" s="7" t="n"/>
      <c r="F40" s="7" t="n"/>
      <c r="G40" s="7" t="n"/>
      <c r="H40" s="7" t="n"/>
      <c r="I40" s="9" t="n"/>
      <c r="J40" s="7" t="n"/>
      <c r="K40" s="7" t="n"/>
      <c r="L40" s="7" t="n"/>
      <c r="M40" s="9" t="n"/>
      <c r="N40" s="9">
        <f>IF($E40="","",IF($S40&lt;&gt;"ÖDEMEDE",0,MIN($R40,IF($J40="Oran",IFERROR($C40*$K40/$L40,0),$M40))))</f>
        <v/>
      </c>
      <c r="O40" s="9" t="n"/>
      <c r="P40" s="9">
        <f>IF($E40="","",SUMIFS('AYLIK KESİNTİLER'!$E$2:$E$5000,'AYLIK KESİNTİLER'!$A$2:$A$5000,$A40,'AYLIK KESİNTİLER'!$B$2:$B$5000,$E40))</f>
        <v/>
      </c>
      <c r="Q40" s="9">
        <f>IF($E40="","",$O40+$P40)</f>
        <v/>
      </c>
      <c r="R40" s="9">
        <f>IF($E40="","",$I40-$Q40)</f>
        <v/>
      </c>
      <c r="S40" s="12">
        <f>IF($E40="","",IF($R40&lt;=0,"KAPANDI",IF(COUNTIFS($A$2:$A$300,$A40,$F$2:$F$300,"&lt;"&amp;$F40,$R$2:$R$300,"&gt;0")=0,"ÖDEMEDE","SIRADA")))</f>
        <v/>
      </c>
      <c r="T40" s="7" t="n"/>
      <c r="U40" s="7" t="n"/>
      <c r="V40">
        <f>IF($E40="","",$A40&amp;"|"&amp;$S40)</f>
        <v/>
      </c>
    </row>
    <row r="41">
      <c r="A41" s="7" t="n"/>
      <c r="B41" s="8">
        <f>IF($A41="","",IFERROR(VLOOKUP($A41,PERSONEL!$A$2:$C$300,2,0),""))</f>
        <v/>
      </c>
      <c r="C41" s="9">
        <f>IF($A41="","",IFERROR(VLOOKUP($A41,PERSONEL!$A$2:$C$300,3,0),""))</f>
        <v/>
      </c>
      <c r="D41" s="10" t="n"/>
      <c r="E41" s="7" t="n"/>
      <c r="F41" s="7" t="n"/>
      <c r="G41" s="7" t="n"/>
      <c r="H41" s="7" t="n"/>
      <c r="I41" s="9" t="n"/>
      <c r="J41" s="7" t="n"/>
      <c r="K41" s="7" t="n"/>
      <c r="L41" s="7" t="n"/>
      <c r="M41" s="9" t="n"/>
      <c r="N41" s="9">
        <f>IF($E41="","",IF($S41&lt;&gt;"ÖDEMEDE",0,MIN($R41,IF($J41="Oran",IFERROR($C41*$K41/$L41,0),$M41))))</f>
        <v/>
      </c>
      <c r="O41" s="9" t="n"/>
      <c r="P41" s="9">
        <f>IF($E41="","",SUMIFS('AYLIK KESİNTİLER'!$E$2:$E$5000,'AYLIK KESİNTİLER'!$A$2:$A$5000,$A41,'AYLIK KESİNTİLER'!$B$2:$B$5000,$E41))</f>
        <v/>
      </c>
      <c r="Q41" s="9">
        <f>IF($E41="","",$O41+$P41)</f>
        <v/>
      </c>
      <c r="R41" s="9">
        <f>IF($E41="","",$I41-$Q41)</f>
        <v/>
      </c>
      <c r="S41" s="12">
        <f>IF($E41="","",IF($R41&lt;=0,"KAPANDI",IF(COUNTIFS($A$2:$A$300,$A41,$F$2:$F$300,"&lt;"&amp;$F41,$R$2:$R$300,"&gt;0")=0,"ÖDEMEDE","SIRADA")))</f>
        <v/>
      </c>
      <c r="T41" s="7" t="n"/>
      <c r="U41" s="7" t="n"/>
      <c r="V41">
        <f>IF($E41="","",$A41&amp;"|"&amp;$S41)</f>
        <v/>
      </c>
    </row>
    <row r="42">
      <c r="A42" s="7" t="n"/>
      <c r="B42" s="8">
        <f>IF($A42="","",IFERROR(VLOOKUP($A42,PERSONEL!$A$2:$C$300,2,0),""))</f>
        <v/>
      </c>
      <c r="C42" s="9">
        <f>IF($A42="","",IFERROR(VLOOKUP($A42,PERSONEL!$A$2:$C$300,3,0),""))</f>
        <v/>
      </c>
      <c r="D42" s="10" t="n"/>
      <c r="E42" s="7" t="n"/>
      <c r="F42" s="7" t="n"/>
      <c r="G42" s="7" t="n"/>
      <c r="H42" s="7" t="n"/>
      <c r="I42" s="9" t="n"/>
      <c r="J42" s="7" t="n"/>
      <c r="K42" s="7" t="n"/>
      <c r="L42" s="7" t="n"/>
      <c r="M42" s="9" t="n"/>
      <c r="N42" s="9">
        <f>IF($E42="","",IF($S42&lt;&gt;"ÖDEMEDE",0,MIN($R42,IF($J42="Oran",IFERROR($C42*$K42/$L42,0),$M42))))</f>
        <v/>
      </c>
      <c r="O42" s="9" t="n"/>
      <c r="P42" s="9">
        <f>IF($E42="","",SUMIFS('AYLIK KESİNTİLER'!$E$2:$E$5000,'AYLIK KESİNTİLER'!$A$2:$A$5000,$A42,'AYLIK KESİNTİLER'!$B$2:$B$5000,$E42))</f>
        <v/>
      </c>
      <c r="Q42" s="9">
        <f>IF($E42="","",$O42+$P42)</f>
        <v/>
      </c>
      <c r="R42" s="9">
        <f>IF($E42="","",$I42-$Q42)</f>
        <v/>
      </c>
      <c r="S42" s="12">
        <f>IF($E42="","",IF($R42&lt;=0,"KAPANDI",IF(COUNTIFS($A$2:$A$300,$A42,$F$2:$F$300,"&lt;"&amp;$F42,$R$2:$R$300,"&gt;0")=0,"ÖDEMEDE","SIRADA")))</f>
        <v/>
      </c>
      <c r="T42" s="7" t="n"/>
      <c r="U42" s="7" t="n"/>
      <c r="V42">
        <f>IF($E42="","",$A42&amp;"|"&amp;$S42)</f>
        <v/>
      </c>
    </row>
    <row r="43">
      <c r="A43" s="7" t="n"/>
      <c r="B43" s="8">
        <f>IF($A43="","",IFERROR(VLOOKUP($A43,PERSONEL!$A$2:$C$300,2,0),""))</f>
        <v/>
      </c>
      <c r="C43" s="9">
        <f>IF($A43="","",IFERROR(VLOOKUP($A43,PERSONEL!$A$2:$C$300,3,0),""))</f>
        <v/>
      </c>
      <c r="D43" s="10" t="n"/>
      <c r="E43" s="7" t="n"/>
      <c r="F43" s="7" t="n"/>
      <c r="G43" s="7" t="n"/>
      <c r="H43" s="7" t="n"/>
      <c r="I43" s="9" t="n"/>
      <c r="J43" s="7" t="n"/>
      <c r="K43" s="7" t="n"/>
      <c r="L43" s="7" t="n"/>
      <c r="M43" s="9" t="n"/>
      <c r="N43" s="9">
        <f>IF($E43="","",IF($S43&lt;&gt;"ÖDEMEDE",0,MIN($R43,IF($J43="Oran",IFERROR($C43*$K43/$L43,0),$M43))))</f>
        <v/>
      </c>
      <c r="O43" s="9" t="n"/>
      <c r="P43" s="9">
        <f>IF($E43="","",SUMIFS('AYLIK KESİNTİLER'!$E$2:$E$5000,'AYLIK KESİNTİLER'!$A$2:$A$5000,$A43,'AYLIK KESİNTİLER'!$B$2:$B$5000,$E43))</f>
        <v/>
      </c>
      <c r="Q43" s="9">
        <f>IF($E43="","",$O43+$P43)</f>
        <v/>
      </c>
      <c r="R43" s="9">
        <f>IF($E43="","",$I43-$Q43)</f>
        <v/>
      </c>
      <c r="S43" s="12">
        <f>IF($E43="","",IF($R43&lt;=0,"KAPANDI",IF(COUNTIFS($A$2:$A$300,$A43,$F$2:$F$300,"&lt;"&amp;$F43,$R$2:$R$300,"&gt;0")=0,"ÖDEMEDE","SIRADA")))</f>
        <v/>
      </c>
      <c r="T43" s="7" t="n"/>
      <c r="U43" s="7" t="n"/>
      <c r="V43">
        <f>IF($E43="","",$A43&amp;"|"&amp;$S43)</f>
        <v/>
      </c>
    </row>
    <row r="44">
      <c r="A44" s="7" t="n"/>
      <c r="B44" s="8">
        <f>IF($A44="","",IFERROR(VLOOKUP($A44,PERSONEL!$A$2:$C$300,2,0),""))</f>
        <v/>
      </c>
      <c r="C44" s="9">
        <f>IF($A44="","",IFERROR(VLOOKUP($A44,PERSONEL!$A$2:$C$300,3,0),""))</f>
        <v/>
      </c>
      <c r="D44" s="10" t="n"/>
      <c r="E44" s="7" t="n"/>
      <c r="F44" s="7" t="n"/>
      <c r="G44" s="7" t="n"/>
      <c r="H44" s="7" t="n"/>
      <c r="I44" s="9" t="n"/>
      <c r="J44" s="7" t="n"/>
      <c r="K44" s="7" t="n"/>
      <c r="L44" s="7" t="n"/>
      <c r="M44" s="9" t="n"/>
      <c r="N44" s="9">
        <f>IF($E44="","",IF($S44&lt;&gt;"ÖDEMEDE",0,MIN($R44,IF($J44="Oran",IFERROR($C44*$K44/$L44,0),$M44))))</f>
        <v/>
      </c>
      <c r="O44" s="9" t="n"/>
      <c r="P44" s="9">
        <f>IF($E44="","",SUMIFS('AYLIK KESİNTİLER'!$E$2:$E$5000,'AYLIK KESİNTİLER'!$A$2:$A$5000,$A44,'AYLIK KESİNTİLER'!$B$2:$B$5000,$E44))</f>
        <v/>
      </c>
      <c r="Q44" s="9">
        <f>IF($E44="","",$O44+$P44)</f>
        <v/>
      </c>
      <c r="R44" s="9">
        <f>IF($E44="","",$I44-$Q44)</f>
        <v/>
      </c>
      <c r="S44" s="12">
        <f>IF($E44="","",IF($R44&lt;=0,"KAPANDI",IF(COUNTIFS($A$2:$A$300,$A44,$F$2:$F$300,"&lt;"&amp;$F44,$R$2:$R$300,"&gt;0")=0,"ÖDEMEDE","SIRADA")))</f>
        <v/>
      </c>
      <c r="T44" s="7" t="n"/>
      <c r="U44" s="7" t="n"/>
      <c r="V44">
        <f>IF($E44="","",$A44&amp;"|"&amp;$S44)</f>
        <v/>
      </c>
    </row>
    <row r="45">
      <c r="A45" s="7" t="n"/>
      <c r="B45" s="8">
        <f>IF($A45="","",IFERROR(VLOOKUP($A45,PERSONEL!$A$2:$C$300,2,0),""))</f>
        <v/>
      </c>
      <c r="C45" s="9">
        <f>IF($A45="","",IFERROR(VLOOKUP($A45,PERSONEL!$A$2:$C$300,3,0),""))</f>
        <v/>
      </c>
      <c r="D45" s="10" t="n"/>
      <c r="E45" s="7" t="n"/>
      <c r="F45" s="7" t="n"/>
      <c r="G45" s="7" t="n"/>
      <c r="H45" s="7" t="n"/>
      <c r="I45" s="9" t="n"/>
      <c r="J45" s="7" t="n"/>
      <c r="K45" s="7" t="n"/>
      <c r="L45" s="7" t="n"/>
      <c r="M45" s="9" t="n"/>
      <c r="N45" s="9">
        <f>IF($E45="","",IF($S45&lt;&gt;"ÖDEMEDE",0,MIN($R45,IF($J45="Oran",IFERROR($C45*$K45/$L45,0),$M45))))</f>
        <v/>
      </c>
      <c r="O45" s="9" t="n"/>
      <c r="P45" s="9">
        <f>IF($E45="","",SUMIFS('AYLIK KESİNTİLER'!$E$2:$E$5000,'AYLIK KESİNTİLER'!$A$2:$A$5000,$A45,'AYLIK KESİNTİLER'!$B$2:$B$5000,$E45))</f>
        <v/>
      </c>
      <c r="Q45" s="9">
        <f>IF($E45="","",$O45+$P45)</f>
        <v/>
      </c>
      <c r="R45" s="9">
        <f>IF($E45="","",$I45-$Q45)</f>
        <v/>
      </c>
      <c r="S45" s="12">
        <f>IF($E45="","",IF($R45&lt;=0,"KAPANDI",IF(COUNTIFS($A$2:$A$300,$A45,$F$2:$F$300,"&lt;"&amp;$F45,$R$2:$R$300,"&gt;0")=0,"ÖDEMEDE","SIRADA")))</f>
        <v/>
      </c>
      <c r="T45" s="7" t="n"/>
      <c r="U45" s="7" t="n"/>
      <c r="V45">
        <f>IF($E45="","",$A45&amp;"|"&amp;$S45)</f>
        <v/>
      </c>
    </row>
    <row r="46">
      <c r="A46" s="7" t="n"/>
      <c r="B46" s="8">
        <f>IF($A46="","",IFERROR(VLOOKUP($A46,PERSONEL!$A$2:$C$300,2,0),""))</f>
        <v/>
      </c>
      <c r="C46" s="9">
        <f>IF($A46="","",IFERROR(VLOOKUP($A46,PERSONEL!$A$2:$C$300,3,0),""))</f>
        <v/>
      </c>
      <c r="D46" s="10" t="n"/>
      <c r="E46" s="7" t="n"/>
      <c r="F46" s="7" t="n"/>
      <c r="G46" s="7" t="n"/>
      <c r="H46" s="7" t="n"/>
      <c r="I46" s="9" t="n"/>
      <c r="J46" s="7" t="n"/>
      <c r="K46" s="7" t="n"/>
      <c r="L46" s="7" t="n"/>
      <c r="M46" s="9" t="n"/>
      <c r="N46" s="9">
        <f>IF($E46="","",IF($S46&lt;&gt;"ÖDEMEDE",0,MIN($R46,IF($J46="Oran",IFERROR($C46*$K46/$L46,0),$M46))))</f>
        <v/>
      </c>
      <c r="O46" s="9" t="n"/>
      <c r="P46" s="9">
        <f>IF($E46="","",SUMIFS('AYLIK KESİNTİLER'!$E$2:$E$5000,'AYLIK KESİNTİLER'!$A$2:$A$5000,$A46,'AYLIK KESİNTİLER'!$B$2:$B$5000,$E46))</f>
        <v/>
      </c>
      <c r="Q46" s="9">
        <f>IF($E46="","",$O46+$P46)</f>
        <v/>
      </c>
      <c r="R46" s="9">
        <f>IF($E46="","",$I46-$Q46)</f>
        <v/>
      </c>
      <c r="S46" s="12">
        <f>IF($E46="","",IF($R46&lt;=0,"KAPANDI",IF(COUNTIFS($A$2:$A$300,$A46,$F$2:$F$300,"&lt;"&amp;$F46,$R$2:$R$300,"&gt;0")=0,"ÖDEMEDE","SIRADA")))</f>
        <v/>
      </c>
      <c r="T46" s="7" t="n"/>
      <c r="U46" s="7" t="n"/>
      <c r="V46">
        <f>IF($E46="","",$A46&amp;"|"&amp;$S46)</f>
        <v/>
      </c>
    </row>
    <row r="47">
      <c r="A47" s="7" t="n"/>
      <c r="B47" s="8">
        <f>IF($A47="","",IFERROR(VLOOKUP($A47,PERSONEL!$A$2:$C$300,2,0),""))</f>
        <v/>
      </c>
      <c r="C47" s="9">
        <f>IF($A47="","",IFERROR(VLOOKUP($A47,PERSONEL!$A$2:$C$300,3,0),""))</f>
        <v/>
      </c>
      <c r="D47" s="10" t="n"/>
      <c r="E47" s="7" t="n"/>
      <c r="F47" s="7" t="n"/>
      <c r="G47" s="7" t="n"/>
      <c r="H47" s="7" t="n"/>
      <c r="I47" s="9" t="n"/>
      <c r="J47" s="7" t="n"/>
      <c r="K47" s="7" t="n"/>
      <c r="L47" s="7" t="n"/>
      <c r="M47" s="9" t="n"/>
      <c r="N47" s="9">
        <f>IF($E47="","",IF($S47&lt;&gt;"ÖDEMEDE",0,MIN($R47,IF($J47="Oran",IFERROR($C47*$K47/$L47,0),$M47))))</f>
        <v/>
      </c>
      <c r="O47" s="9" t="n"/>
      <c r="P47" s="9">
        <f>IF($E47="","",SUMIFS('AYLIK KESİNTİLER'!$E$2:$E$5000,'AYLIK KESİNTİLER'!$A$2:$A$5000,$A47,'AYLIK KESİNTİLER'!$B$2:$B$5000,$E47))</f>
        <v/>
      </c>
      <c r="Q47" s="9">
        <f>IF($E47="","",$O47+$P47)</f>
        <v/>
      </c>
      <c r="R47" s="9">
        <f>IF($E47="","",$I47-$Q47)</f>
        <v/>
      </c>
      <c r="S47" s="12">
        <f>IF($E47="","",IF($R47&lt;=0,"KAPANDI",IF(COUNTIFS($A$2:$A$300,$A47,$F$2:$F$300,"&lt;"&amp;$F47,$R$2:$R$300,"&gt;0")=0,"ÖDEMEDE","SIRADA")))</f>
        <v/>
      </c>
      <c r="T47" s="7" t="n"/>
      <c r="U47" s="7" t="n"/>
      <c r="V47">
        <f>IF($E47="","",$A47&amp;"|"&amp;$S47)</f>
        <v/>
      </c>
    </row>
    <row r="48">
      <c r="A48" s="7" t="n"/>
      <c r="B48" s="8">
        <f>IF($A48="","",IFERROR(VLOOKUP($A48,PERSONEL!$A$2:$C$300,2,0),""))</f>
        <v/>
      </c>
      <c r="C48" s="9">
        <f>IF($A48="","",IFERROR(VLOOKUP($A48,PERSONEL!$A$2:$C$300,3,0),""))</f>
        <v/>
      </c>
      <c r="D48" s="10" t="n"/>
      <c r="E48" s="7" t="n"/>
      <c r="F48" s="7" t="n"/>
      <c r="G48" s="7" t="n"/>
      <c r="H48" s="7" t="n"/>
      <c r="I48" s="9" t="n"/>
      <c r="J48" s="7" t="n"/>
      <c r="K48" s="7" t="n"/>
      <c r="L48" s="7" t="n"/>
      <c r="M48" s="9" t="n"/>
      <c r="N48" s="9">
        <f>IF($E48="","",IF($S48&lt;&gt;"ÖDEMEDE",0,MIN($R48,IF($J48="Oran",IFERROR($C48*$K48/$L48,0),$M48))))</f>
        <v/>
      </c>
      <c r="O48" s="9" t="n"/>
      <c r="P48" s="9">
        <f>IF($E48="","",SUMIFS('AYLIK KESİNTİLER'!$E$2:$E$5000,'AYLIK KESİNTİLER'!$A$2:$A$5000,$A48,'AYLIK KESİNTİLER'!$B$2:$B$5000,$E48))</f>
        <v/>
      </c>
      <c r="Q48" s="9">
        <f>IF($E48="","",$O48+$P48)</f>
        <v/>
      </c>
      <c r="R48" s="9">
        <f>IF($E48="","",$I48-$Q48)</f>
        <v/>
      </c>
      <c r="S48" s="12">
        <f>IF($E48="","",IF($R48&lt;=0,"KAPANDI",IF(COUNTIFS($A$2:$A$300,$A48,$F$2:$F$300,"&lt;"&amp;$F48,$R$2:$R$300,"&gt;0")=0,"ÖDEMEDE","SIRADA")))</f>
        <v/>
      </c>
      <c r="T48" s="7" t="n"/>
      <c r="U48" s="7" t="n"/>
      <c r="V48">
        <f>IF($E48="","",$A48&amp;"|"&amp;$S48)</f>
        <v/>
      </c>
    </row>
    <row r="49">
      <c r="A49" s="7" t="n"/>
      <c r="B49" s="8">
        <f>IF($A49="","",IFERROR(VLOOKUP($A49,PERSONEL!$A$2:$C$300,2,0),""))</f>
        <v/>
      </c>
      <c r="C49" s="9">
        <f>IF($A49="","",IFERROR(VLOOKUP($A49,PERSONEL!$A$2:$C$300,3,0),""))</f>
        <v/>
      </c>
      <c r="D49" s="10" t="n"/>
      <c r="E49" s="7" t="n"/>
      <c r="F49" s="7" t="n"/>
      <c r="G49" s="7" t="n"/>
      <c r="H49" s="7" t="n"/>
      <c r="I49" s="9" t="n"/>
      <c r="J49" s="7" t="n"/>
      <c r="K49" s="7" t="n"/>
      <c r="L49" s="7" t="n"/>
      <c r="M49" s="9" t="n"/>
      <c r="N49" s="9">
        <f>IF($E49="","",IF($S49&lt;&gt;"ÖDEMEDE",0,MIN($R49,IF($J49="Oran",IFERROR($C49*$K49/$L49,0),$M49))))</f>
        <v/>
      </c>
      <c r="O49" s="9" t="n"/>
      <c r="P49" s="9">
        <f>IF($E49="","",SUMIFS('AYLIK KESİNTİLER'!$E$2:$E$5000,'AYLIK KESİNTİLER'!$A$2:$A$5000,$A49,'AYLIK KESİNTİLER'!$B$2:$B$5000,$E49))</f>
        <v/>
      </c>
      <c r="Q49" s="9">
        <f>IF($E49="","",$O49+$P49)</f>
        <v/>
      </c>
      <c r="R49" s="9">
        <f>IF($E49="","",$I49-$Q49)</f>
        <v/>
      </c>
      <c r="S49" s="12">
        <f>IF($E49="","",IF($R49&lt;=0,"KAPANDI",IF(COUNTIFS($A$2:$A$300,$A49,$F$2:$F$300,"&lt;"&amp;$F49,$R$2:$R$300,"&gt;0")=0,"ÖDEMEDE","SIRADA")))</f>
        <v/>
      </c>
      <c r="T49" s="7" t="n"/>
      <c r="U49" s="7" t="n"/>
      <c r="V49">
        <f>IF($E49="","",$A49&amp;"|"&amp;$S49)</f>
        <v/>
      </c>
    </row>
    <row r="50">
      <c r="A50" s="7" t="n"/>
      <c r="B50" s="8">
        <f>IF($A50="","",IFERROR(VLOOKUP($A50,PERSONEL!$A$2:$C$300,2,0),""))</f>
        <v/>
      </c>
      <c r="C50" s="9">
        <f>IF($A50="","",IFERROR(VLOOKUP($A50,PERSONEL!$A$2:$C$300,3,0),""))</f>
        <v/>
      </c>
      <c r="D50" s="10" t="n"/>
      <c r="E50" s="7" t="n"/>
      <c r="F50" s="7" t="n"/>
      <c r="G50" s="7" t="n"/>
      <c r="H50" s="7" t="n"/>
      <c r="I50" s="9" t="n"/>
      <c r="J50" s="7" t="n"/>
      <c r="K50" s="7" t="n"/>
      <c r="L50" s="7" t="n"/>
      <c r="M50" s="9" t="n"/>
      <c r="N50" s="9">
        <f>IF($E50="","",IF($S50&lt;&gt;"ÖDEMEDE",0,MIN($R50,IF($J50="Oran",IFERROR($C50*$K50/$L50,0),$M50))))</f>
        <v/>
      </c>
      <c r="O50" s="9" t="n"/>
      <c r="P50" s="9">
        <f>IF($E50="","",SUMIFS('AYLIK KESİNTİLER'!$E$2:$E$5000,'AYLIK KESİNTİLER'!$A$2:$A$5000,$A50,'AYLIK KESİNTİLER'!$B$2:$B$5000,$E50))</f>
        <v/>
      </c>
      <c r="Q50" s="9">
        <f>IF($E50="","",$O50+$P50)</f>
        <v/>
      </c>
      <c r="R50" s="9">
        <f>IF($E50="","",$I50-$Q50)</f>
        <v/>
      </c>
      <c r="S50" s="12">
        <f>IF($E50="","",IF($R50&lt;=0,"KAPANDI",IF(COUNTIFS($A$2:$A$300,$A50,$F$2:$F$300,"&lt;"&amp;$F50,$R$2:$R$300,"&gt;0")=0,"ÖDEMEDE","SIRADA")))</f>
        <v/>
      </c>
      <c r="T50" s="7" t="n"/>
      <c r="U50" s="7" t="n"/>
      <c r="V50">
        <f>IF($E50="","",$A50&amp;"|"&amp;$S50)</f>
        <v/>
      </c>
    </row>
    <row r="51">
      <c r="A51" s="7" t="n"/>
      <c r="B51" s="8">
        <f>IF($A51="","",IFERROR(VLOOKUP($A51,PERSONEL!$A$2:$C$300,2,0),""))</f>
        <v/>
      </c>
      <c r="C51" s="9">
        <f>IF($A51="","",IFERROR(VLOOKUP($A51,PERSONEL!$A$2:$C$300,3,0),""))</f>
        <v/>
      </c>
      <c r="D51" s="10" t="n"/>
      <c r="E51" s="7" t="n"/>
      <c r="F51" s="7" t="n"/>
      <c r="G51" s="7" t="n"/>
      <c r="H51" s="7" t="n"/>
      <c r="I51" s="9" t="n"/>
      <c r="J51" s="7" t="n"/>
      <c r="K51" s="7" t="n"/>
      <c r="L51" s="7" t="n"/>
      <c r="M51" s="9" t="n"/>
      <c r="N51" s="9">
        <f>IF($E51="","",IF($S51&lt;&gt;"ÖDEMEDE",0,MIN($R51,IF($J51="Oran",IFERROR($C51*$K51/$L51,0),$M51))))</f>
        <v/>
      </c>
      <c r="O51" s="9" t="n"/>
      <c r="P51" s="9">
        <f>IF($E51="","",SUMIFS('AYLIK KESİNTİLER'!$E$2:$E$5000,'AYLIK KESİNTİLER'!$A$2:$A$5000,$A51,'AYLIK KESİNTİLER'!$B$2:$B$5000,$E51))</f>
        <v/>
      </c>
      <c r="Q51" s="9">
        <f>IF($E51="","",$O51+$P51)</f>
        <v/>
      </c>
      <c r="R51" s="9">
        <f>IF($E51="","",$I51-$Q51)</f>
        <v/>
      </c>
      <c r="S51" s="12">
        <f>IF($E51="","",IF($R51&lt;=0,"KAPANDI",IF(COUNTIFS($A$2:$A$300,$A51,$F$2:$F$300,"&lt;"&amp;$F51,$R$2:$R$300,"&gt;0")=0,"ÖDEMEDE","SIRADA")))</f>
        <v/>
      </c>
      <c r="T51" s="7" t="n"/>
      <c r="U51" s="7" t="n"/>
      <c r="V51">
        <f>IF($E51="","",$A51&amp;"|"&amp;$S51)</f>
        <v/>
      </c>
    </row>
    <row r="52">
      <c r="A52" s="7" t="n"/>
      <c r="B52" s="8">
        <f>IF($A52="","",IFERROR(VLOOKUP($A52,PERSONEL!$A$2:$C$300,2,0),""))</f>
        <v/>
      </c>
      <c r="C52" s="9">
        <f>IF($A52="","",IFERROR(VLOOKUP($A52,PERSONEL!$A$2:$C$300,3,0),""))</f>
        <v/>
      </c>
      <c r="D52" s="10" t="n"/>
      <c r="E52" s="7" t="n"/>
      <c r="F52" s="7" t="n"/>
      <c r="G52" s="7" t="n"/>
      <c r="H52" s="7" t="n"/>
      <c r="I52" s="9" t="n"/>
      <c r="J52" s="7" t="n"/>
      <c r="K52" s="7" t="n"/>
      <c r="L52" s="7" t="n"/>
      <c r="M52" s="9" t="n"/>
      <c r="N52" s="9">
        <f>IF($E52="","",IF($S52&lt;&gt;"ÖDEMEDE",0,MIN($R52,IF($J52="Oran",IFERROR($C52*$K52/$L52,0),$M52))))</f>
        <v/>
      </c>
      <c r="O52" s="9" t="n"/>
      <c r="P52" s="9">
        <f>IF($E52="","",SUMIFS('AYLIK KESİNTİLER'!$E$2:$E$5000,'AYLIK KESİNTİLER'!$A$2:$A$5000,$A52,'AYLIK KESİNTİLER'!$B$2:$B$5000,$E52))</f>
        <v/>
      </c>
      <c r="Q52" s="9">
        <f>IF($E52="","",$O52+$P52)</f>
        <v/>
      </c>
      <c r="R52" s="9">
        <f>IF($E52="","",$I52-$Q52)</f>
        <v/>
      </c>
      <c r="S52" s="12">
        <f>IF($E52="","",IF($R52&lt;=0,"KAPANDI",IF(COUNTIFS($A$2:$A$300,$A52,$F$2:$F$300,"&lt;"&amp;$F52,$R$2:$R$300,"&gt;0")=0,"ÖDEMEDE","SIRADA")))</f>
        <v/>
      </c>
      <c r="T52" s="7" t="n"/>
      <c r="U52" s="7" t="n"/>
      <c r="V52">
        <f>IF($E52="","",$A52&amp;"|"&amp;$S52)</f>
        <v/>
      </c>
    </row>
    <row r="53">
      <c r="A53" s="7" t="n"/>
      <c r="B53" s="8">
        <f>IF($A53="","",IFERROR(VLOOKUP($A53,PERSONEL!$A$2:$C$300,2,0),""))</f>
        <v/>
      </c>
      <c r="C53" s="9">
        <f>IF($A53="","",IFERROR(VLOOKUP($A53,PERSONEL!$A$2:$C$300,3,0),""))</f>
        <v/>
      </c>
      <c r="D53" s="10" t="n"/>
      <c r="E53" s="7" t="n"/>
      <c r="F53" s="7" t="n"/>
      <c r="G53" s="7" t="n"/>
      <c r="H53" s="7" t="n"/>
      <c r="I53" s="9" t="n"/>
      <c r="J53" s="7" t="n"/>
      <c r="K53" s="7" t="n"/>
      <c r="L53" s="7" t="n"/>
      <c r="M53" s="9" t="n"/>
      <c r="N53" s="9">
        <f>IF($E53="","",IF($S53&lt;&gt;"ÖDEMEDE",0,MIN($R53,IF($J53="Oran",IFERROR($C53*$K53/$L53,0),$M53))))</f>
        <v/>
      </c>
      <c r="O53" s="9" t="n"/>
      <c r="P53" s="9">
        <f>IF($E53="","",SUMIFS('AYLIK KESİNTİLER'!$E$2:$E$5000,'AYLIK KESİNTİLER'!$A$2:$A$5000,$A53,'AYLIK KESİNTİLER'!$B$2:$B$5000,$E53))</f>
        <v/>
      </c>
      <c r="Q53" s="9">
        <f>IF($E53="","",$O53+$P53)</f>
        <v/>
      </c>
      <c r="R53" s="9">
        <f>IF($E53="","",$I53-$Q53)</f>
        <v/>
      </c>
      <c r="S53" s="12">
        <f>IF($E53="","",IF($R53&lt;=0,"KAPANDI",IF(COUNTIFS($A$2:$A$300,$A53,$F$2:$F$300,"&lt;"&amp;$F53,$R$2:$R$300,"&gt;0")=0,"ÖDEMEDE","SIRADA")))</f>
        <v/>
      </c>
      <c r="T53" s="7" t="n"/>
      <c r="U53" s="7" t="n"/>
      <c r="V53">
        <f>IF($E53="","",$A53&amp;"|"&amp;$S53)</f>
        <v/>
      </c>
    </row>
    <row r="54">
      <c r="A54" s="7" t="n"/>
      <c r="B54" s="8">
        <f>IF($A54="","",IFERROR(VLOOKUP($A54,PERSONEL!$A$2:$C$300,2,0),""))</f>
        <v/>
      </c>
      <c r="C54" s="9">
        <f>IF($A54="","",IFERROR(VLOOKUP($A54,PERSONEL!$A$2:$C$300,3,0),""))</f>
        <v/>
      </c>
      <c r="D54" s="10" t="n"/>
      <c r="E54" s="7" t="n"/>
      <c r="F54" s="7" t="n"/>
      <c r="G54" s="7" t="n"/>
      <c r="H54" s="7" t="n"/>
      <c r="I54" s="9" t="n"/>
      <c r="J54" s="7" t="n"/>
      <c r="K54" s="7" t="n"/>
      <c r="L54" s="7" t="n"/>
      <c r="M54" s="9" t="n"/>
      <c r="N54" s="9">
        <f>IF($E54="","",IF($S54&lt;&gt;"ÖDEMEDE",0,MIN($R54,IF($J54="Oran",IFERROR($C54*$K54/$L54,0),$M54))))</f>
        <v/>
      </c>
      <c r="O54" s="9" t="n"/>
      <c r="P54" s="9">
        <f>IF($E54="","",SUMIFS('AYLIK KESİNTİLER'!$E$2:$E$5000,'AYLIK KESİNTİLER'!$A$2:$A$5000,$A54,'AYLIK KESİNTİLER'!$B$2:$B$5000,$E54))</f>
        <v/>
      </c>
      <c r="Q54" s="9">
        <f>IF($E54="","",$O54+$P54)</f>
        <v/>
      </c>
      <c r="R54" s="9">
        <f>IF($E54="","",$I54-$Q54)</f>
        <v/>
      </c>
      <c r="S54" s="12">
        <f>IF($E54="","",IF($R54&lt;=0,"KAPANDI",IF(COUNTIFS($A$2:$A$300,$A54,$F$2:$F$300,"&lt;"&amp;$F54,$R$2:$R$300,"&gt;0")=0,"ÖDEMEDE","SIRADA")))</f>
        <v/>
      </c>
      <c r="T54" s="7" t="n"/>
      <c r="U54" s="7" t="n"/>
      <c r="V54">
        <f>IF($E54="","",$A54&amp;"|"&amp;$S54)</f>
        <v/>
      </c>
    </row>
    <row r="55">
      <c r="A55" s="7" t="n"/>
      <c r="B55" s="8">
        <f>IF($A55="","",IFERROR(VLOOKUP($A55,PERSONEL!$A$2:$C$300,2,0),""))</f>
        <v/>
      </c>
      <c r="C55" s="9">
        <f>IF($A55="","",IFERROR(VLOOKUP($A55,PERSONEL!$A$2:$C$300,3,0),""))</f>
        <v/>
      </c>
      <c r="D55" s="10" t="n"/>
      <c r="E55" s="7" t="n"/>
      <c r="F55" s="7" t="n"/>
      <c r="G55" s="7" t="n"/>
      <c r="H55" s="7" t="n"/>
      <c r="I55" s="9" t="n"/>
      <c r="J55" s="7" t="n"/>
      <c r="K55" s="7" t="n"/>
      <c r="L55" s="7" t="n"/>
      <c r="M55" s="9" t="n"/>
      <c r="N55" s="9">
        <f>IF($E55="","",IF($S55&lt;&gt;"ÖDEMEDE",0,MIN($R55,IF($J55="Oran",IFERROR($C55*$K55/$L55,0),$M55))))</f>
        <v/>
      </c>
      <c r="O55" s="9" t="n"/>
      <c r="P55" s="9">
        <f>IF($E55="","",SUMIFS('AYLIK KESİNTİLER'!$E$2:$E$5000,'AYLIK KESİNTİLER'!$A$2:$A$5000,$A55,'AYLIK KESİNTİLER'!$B$2:$B$5000,$E55))</f>
        <v/>
      </c>
      <c r="Q55" s="9">
        <f>IF($E55="","",$O55+$P55)</f>
        <v/>
      </c>
      <c r="R55" s="9">
        <f>IF($E55="","",$I55-$Q55)</f>
        <v/>
      </c>
      <c r="S55" s="12">
        <f>IF($E55="","",IF($R55&lt;=0,"KAPANDI",IF(COUNTIFS($A$2:$A$300,$A55,$F$2:$F$300,"&lt;"&amp;$F55,$R$2:$R$300,"&gt;0")=0,"ÖDEMEDE","SIRADA")))</f>
        <v/>
      </c>
      <c r="T55" s="7" t="n"/>
      <c r="U55" s="7" t="n"/>
      <c r="V55">
        <f>IF($E55="","",$A55&amp;"|"&amp;$S55)</f>
        <v/>
      </c>
    </row>
    <row r="56">
      <c r="A56" s="7" t="n"/>
      <c r="B56" s="8">
        <f>IF($A56="","",IFERROR(VLOOKUP($A56,PERSONEL!$A$2:$C$300,2,0),""))</f>
        <v/>
      </c>
      <c r="C56" s="9">
        <f>IF($A56="","",IFERROR(VLOOKUP($A56,PERSONEL!$A$2:$C$300,3,0),""))</f>
        <v/>
      </c>
      <c r="D56" s="10" t="n"/>
      <c r="E56" s="7" t="n"/>
      <c r="F56" s="7" t="n"/>
      <c r="G56" s="7" t="n"/>
      <c r="H56" s="7" t="n"/>
      <c r="I56" s="9" t="n"/>
      <c r="J56" s="7" t="n"/>
      <c r="K56" s="7" t="n"/>
      <c r="L56" s="7" t="n"/>
      <c r="M56" s="9" t="n"/>
      <c r="N56" s="9">
        <f>IF($E56="","",IF($S56&lt;&gt;"ÖDEMEDE",0,MIN($R56,IF($J56="Oran",IFERROR($C56*$K56/$L56,0),$M56))))</f>
        <v/>
      </c>
      <c r="O56" s="9" t="n"/>
      <c r="P56" s="9">
        <f>IF($E56="","",SUMIFS('AYLIK KESİNTİLER'!$E$2:$E$5000,'AYLIK KESİNTİLER'!$A$2:$A$5000,$A56,'AYLIK KESİNTİLER'!$B$2:$B$5000,$E56))</f>
        <v/>
      </c>
      <c r="Q56" s="9">
        <f>IF($E56="","",$O56+$P56)</f>
        <v/>
      </c>
      <c r="R56" s="9">
        <f>IF($E56="","",$I56-$Q56)</f>
        <v/>
      </c>
      <c r="S56" s="12">
        <f>IF($E56="","",IF($R56&lt;=0,"KAPANDI",IF(COUNTIFS($A$2:$A$300,$A56,$F$2:$F$300,"&lt;"&amp;$F56,$R$2:$R$300,"&gt;0")=0,"ÖDEMEDE","SIRADA")))</f>
        <v/>
      </c>
      <c r="T56" s="7" t="n"/>
      <c r="U56" s="7" t="n"/>
      <c r="V56">
        <f>IF($E56="","",$A56&amp;"|"&amp;$S56)</f>
        <v/>
      </c>
    </row>
    <row r="57">
      <c r="A57" s="7" t="n"/>
      <c r="B57" s="8">
        <f>IF($A57="","",IFERROR(VLOOKUP($A57,PERSONEL!$A$2:$C$300,2,0),""))</f>
        <v/>
      </c>
      <c r="C57" s="9">
        <f>IF($A57="","",IFERROR(VLOOKUP($A57,PERSONEL!$A$2:$C$300,3,0),""))</f>
        <v/>
      </c>
      <c r="D57" s="10" t="n"/>
      <c r="E57" s="7" t="n"/>
      <c r="F57" s="7" t="n"/>
      <c r="G57" s="7" t="n"/>
      <c r="H57" s="7" t="n"/>
      <c r="I57" s="9" t="n"/>
      <c r="J57" s="7" t="n"/>
      <c r="K57" s="7" t="n"/>
      <c r="L57" s="7" t="n"/>
      <c r="M57" s="9" t="n"/>
      <c r="N57" s="9">
        <f>IF($E57="","",IF($S57&lt;&gt;"ÖDEMEDE",0,MIN($R57,IF($J57="Oran",IFERROR($C57*$K57/$L57,0),$M57))))</f>
        <v/>
      </c>
      <c r="O57" s="9" t="n"/>
      <c r="P57" s="9">
        <f>IF($E57="","",SUMIFS('AYLIK KESİNTİLER'!$E$2:$E$5000,'AYLIK KESİNTİLER'!$A$2:$A$5000,$A57,'AYLIK KESİNTİLER'!$B$2:$B$5000,$E57))</f>
        <v/>
      </c>
      <c r="Q57" s="9">
        <f>IF($E57="","",$O57+$P57)</f>
        <v/>
      </c>
      <c r="R57" s="9">
        <f>IF($E57="","",$I57-$Q57)</f>
        <v/>
      </c>
      <c r="S57" s="12">
        <f>IF($E57="","",IF($R57&lt;=0,"KAPANDI",IF(COUNTIFS($A$2:$A$300,$A57,$F$2:$F$300,"&lt;"&amp;$F57,$R$2:$R$300,"&gt;0")=0,"ÖDEMEDE","SIRADA")))</f>
        <v/>
      </c>
      <c r="T57" s="7" t="n"/>
      <c r="U57" s="7" t="n"/>
      <c r="V57">
        <f>IF($E57="","",$A57&amp;"|"&amp;$S57)</f>
        <v/>
      </c>
    </row>
    <row r="58">
      <c r="A58" s="7" t="n"/>
      <c r="B58" s="8">
        <f>IF($A58="","",IFERROR(VLOOKUP($A58,PERSONEL!$A$2:$C$300,2,0),""))</f>
        <v/>
      </c>
      <c r="C58" s="9">
        <f>IF($A58="","",IFERROR(VLOOKUP($A58,PERSONEL!$A$2:$C$300,3,0),""))</f>
        <v/>
      </c>
      <c r="D58" s="10" t="n"/>
      <c r="E58" s="7" t="n"/>
      <c r="F58" s="7" t="n"/>
      <c r="G58" s="7" t="n"/>
      <c r="H58" s="7" t="n"/>
      <c r="I58" s="9" t="n"/>
      <c r="J58" s="7" t="n"/>
      <c r="K58" s="7" t="n"/>
      <c r="L58" s="7" t="n"/>
      <c r="M58" s="9" t="n"/>
      <c r="N58" s="9">
        <f>IF($E58="","",IF($S58&lt;&gt;"ÖDEMEDE",0,MIN($R58,IF($J58="Oran",IFERROR($C58*$K58/$L58,0),$M58))))</f>
        <v/>
      </c>
      <c r="O58" s="9" t="n"/>
      <c r="P58" s="9">
        <f>IF($E58="","",SUMIFS('AYLIK KESİNTİLER'!$E$2:$E$5000,'AYLIK KESİNTİLER'!$A$2:$A$5000,$A58,'AYLIK KESİNTİLER'!$B$2:$B$5000,$E58))</f>
        <v/>
      </c>
      <c r="Q58" s="9">
        <f>IF($E58="","",$O58+$P58)</f>
        <v/>
      </c>
      <c r="R58" s="9">
        <f>IF($E58="","",$I58-$Q58)</f>
        <v/>
      </c>
      <c r="S58" s="12">
        <f>IF($E58="","",IF($R58&lt;=0,"KAPANDI",IF(COUNTIFS($A$2:$A$300,$A58,$F$2:$F$300,"&lt;"&amp;$F58,$R$2:$R$300,"&gt;0")=0,"ÖDEMEDE","SIRADA")))</f>
        <v/>
      </c>
      <c r="T58" s="7" t="n"/>
      <c r="U58" s="7" t="n"/>
      <c r="V58">
        <f>IF($E58="","",$A58&amp;"|"&amp;$S58)</f>
        <v/>
      </c>
    </row>
    <row r="59">
      <c r="A59" s="7" t="n"/>
      <c r="B59" s="8">
        <f>IF($A59="","",IFERROR(VLOOKUP($A59,PERSONEL!$A$2:$C$300,2,0),""))</f>
        <v/>
      </c>
      <c r="C59" s="9">
        <f>IF($A59="","",IFERROR(VLOOKUP($A59,PERSONEL!$A$2:$C$300,3,0),""))</f>
        <v/>
      </c>
      <c r="D59" s="10" t="n"/>
      <c r="E59" s="7" t="n"/>
      <c r="F59" s="7" t="n"/>
      <c r="G59" s="7" t="n"/>
      <c r="H59" s="7" t="n"/>
      <c r="I59" s="9" t="n"/>
      <c r="J59" s="7" t="n"/>
      <c r="K59" s="7" t="n"/>
      <c r="L59" s="7" t="n"/>
      <c r="M59" s="9" t="n"/>
      <c r="N59" s="9">
        <f>IF($E59="","",IF($S59&lt;&gt;"ÖDEMEDE",0,MIN($R59,IF($J59="Oran",IFERROR($C59*$K59/$L59,0),$M59))))</f>
        <v/>
      </c>
      <c r="O59" s="9" t="n"/>
      <c r="P59" s="9">
        <f>IF($E59="","",SUMIFS('AYLIK KESİNTİLER'!$E$2:$E$5000,'AYLIK KESİNTİLER'!$A$2:$A$5000,$A59,'AYLIK KESİNTİLER'!$B$2:$B$5000,$E59))</f>
        <v/>
      </c>
      <c r="Q59" s="9">
        <f>IF($E59="","",$O59+$P59)</f>
        <v/>
      </c>
      <c r="R59" s="9">
        <f>IF($E59="","",$I59-$Q59)</f>
        <v/>
      </c>
      <c r="S59" s="12">
        <f>IF($E59="","",IF($R59&lt;=0,"KAPANDI",IF(COUNTIFS($A$2:$A$300,$A59,$F$2:$F$300,"&lt;"&amp;$F59,$R$2:$R$300,"&gt;0")=0,"ÖDEMEDE","SIRADA")))</f>
        <v/>
      </c>
      <c r="T59" s="7" t="n"/>
      <c r="U59" s="7" t="n"/>
      <c r="V59">
        <f>IF($E59="","",$A59&amp;"|"&amp;$S59)</f>
        <v/>
      </c>
    </row>
    <row r="60">
      <c r="A60" s="7" t="n"/>
      <c r="B60" s="8">
        <f>IF($A60="","",IFERROR(VLOOKUP($A60,PERSONEL!$A$2:$C$300,2,0),""))</f>
        <v/>
      </c>
      <c r="C60" s="9">
        <f>IF($A60="","",IFERROR(VLOOKUP($A60,PERSONEL!$A$2:$C$300,3,0),""))</f>
        <v/>
      </c>
      <c r="D60" s="10" t="n"/>
      <c r="E60" s="7" t="n"/>
      <c r="F60" s="7" t="n"/>
      <c r="G60" s="7" t="n"/>
      <c r="H60" s="7" t="n"/>
      <c r="I60" s="9" t="n"/>
      <c r="J60" s="7" t="n"/>
      <c r="K60" s="7" t="n"/>
      <c r="L60" s="7" t="n"/>
      <c r="M60" s="9" t="n"/>
      <c r="N60" s="9">
        <f>IF($E60="","",IF($S60&lt;&gt;"ÖDEMEDE",0,MIN($R60,IF($J60="Oran",IFERROR($C60*$K60/$L60,0),$M60))))</f>
        <v/>
      </c>
      <c r="O60" s="9" t="n"/>
      <c r="P60" s="9">
        <f>IF($E60="","",SUMIFS('AYLIK KESİNTİLER'!$E$2:$E$5000,'AYLIK KESİNTİLER'!$A$2:$A$5000,$A60,'AYLIK KESİNTİLER'!$B$2:$B$5000,$E60))</f>
        <v/>
      </c>
      <c r="Q60" s="9">
        <f>IF($E60="","",$O60+$P60)</f>
        <v/>
      </c>
      <c r="R60" s="9">
        <f>IF($E60="","",$I60-$Q60)</f>
        <v/>
      </c>
      <c r="S60" s="12">
        <f>IF($E60="","",IF($R60&lt;=0,"KAPANDI",IF(COUNTIFS($A$2:$A$300,$A60,$F$2:$F$300,"&lt;"&amp;$F60,$R$2:$R$300,"&gt;0")=0,"ÖDEMEDE","SIRADA")))</f>
        <v/>
      </c>
      <c r="T60" s="7" t="n"/>
      <c r="U60" s="7" t="n"/>
      <c r="V60">
        <f>IF($E60="","",$A60&amp;"|"&amp;$S60)</f>
        <v/>
      </c>
    </row>
    <row r="61">
      <c r="A61" s="7" t="n"/>
      <c r="B61" s="8">
        <f>IF($A61="","",IFERROR(VLOOKUP($A61,PERSONEL!$A$2:$C$300,2,0),""))</f>
        <v/>
      </c>
      <c r="C61" s="9">
        <f>IF($A61="","",IFERROR(VLOOKUP($A61,PERSONEL!$A$2:$C$300,3,0),""))</f>
        <v/>
      </c>
      <c r="D61" s="10" t="n"/>
      <c r="E61" s="7" t="n"/>
      <c r="F61" s="7" t="n"/>
      <c r="G61" s="7" t="n"/>
      <c r="H61" s="7" t="n"/>
      <c r="I61" s="9" t="n"/>
      <c r="J61" s="7" t="n"/>
      <c r="K61" s="7" t="n"/>
      <c r="L61" s="7" t="n"/>
      <c r="M61" s="9" t="n"/>
      <c r="N61" s="9">
        <f>IF($E61="","",IF($S61&lt;&gt;"ÖDEMEDE",0,MIN($R61,IF($J61="Oran",IFERROR($C61*$K61/$L61,0),$M61))))</f>
        <v/>
      </c>
      <c r="O61" s="9" t="n"/>
      <c r="P61" s="9">
        <f>IF($E61="","",SUMIFS('AYLIK KESİNTİLER'!$E$2:$E$5000,'AYLIK KESİNTİLER'!$A$2:$A$5000,$A61,'AYLIK KESİNTİLER'!$B$2:$B$5000,$E61))</f>
        <v/>
      </c>
      <c r="Q61" s="9">
        <f>IF($E61="","",$O61+$P61)</f>
        <v/>
      </c>
      <c r="R61" s="9">
        <f>IF($E61="","",$I61-$Q61)</f>
        <v/>
      </c>
      <c r="S61" s="12">
        <f>IF($E61="","",IF($R61&lt;=0,"KAPANDI",IF(COUNTIFS($A$2:$A$300,$A61,$F$2:$F$300,"&lt;"&amp;$F61,$R$2:$R$300,"&gt;0")=0,"ÖDEMEDE","SIRADA")))</f>
        <v/>
      </c>
      <c r="T61" s="7" t="n"/>
      <c r="U61" s="7" t="n"/>
      <c r="V61">
        <f>IF($E61="","",$A61&amp;"|"&amp;$S61)</f>
        <v/>
      </c>
    </row>
    <row r="62">
      <c r="A62" s="7" t="n"/>
      <c r="B62" s="8">
        <f>IF($A62="","",IFERROR(VLOOKUP($A62,PERSONEL!$A$2:$C$300,2,0),""))</f>
        <v/>
      </c>
      <c r="C62" s="9">
        <f>IF($A62="","",IFERROR(VLOOKUP($A62,PERSONEL!$A$2:$C$300,3,0),""))</f>
        <v/>
      </c>
      <c r="D62" s="10" t="n"/>
      <c r="E62" s="7" t="n"/>
      <c r="F62" s="7" t="n"/>
      <c r="G62" s="7" t="n"/>
      <c r="H62" s="7" t="n"/>
      <c r="I62" s="9" t="n"/>
      <c r="J62" s="7" t="n"/>
      <c r="K62" s="7" t="n"/>
      <c r="L62" s="7" t="n"/>
      <c r="M62" s="9" t="n"/>
      <c r="N62" s="9">
        <f>IF($E62="","",IF($S62&lt;&gt;"ÖDEMEDE",0,MIN($R62,IF($J62="Oran",IFERROR($C62*$K62/$L62,0),$M62))))</f>
        <v/>
      </c>
      <c r="O62" s="9" t="n"/>
      <c r="P62" s="9">
        <f>IF($E62="","",SUMIFS('AYLIK KESİNTİLER'!$E$2:$E$5000,'AYLIK KESİNTİLER'!$A$2:$A$5000,$A62,'AYLIK KESİNTİLER'!$B$2:$B$5000,$E62))</f>
        <v/>
      </c>
      <c r="Q62" s="9">
        <f>IF($E62="","",$O62+$P62)</f>
        <v/>
      </c>
      <c r="R62" s="9">
        <f>IF($E62="","",$I62-$Q62)</f>
        <v/>
      </c>
      <c r="S62" s="12">
        <f>IF($E62="","",IF($R62&lt;=0,"KAPANDI",IF(COUNTIFS($A$2:$A$300,$A62,$F$2:$F$300,"&lt;"&amp;$F62,$R$2:$R$300,"&gt;0")=0,"ÖDEMEDE","SIRADA")))</f>
        <v/>
      </c>
      <c r="T62" s="7" t="n"/>
      <c r="U62" s="7" t="n"/>
      <c r="V62">
        <f>IF($E62="","",$A62&amp;"|"&amp;$S62)</f>
        <v/>
      </c>
    </row>
    <row r="63">
      <c r="A63" s="7" t="n"/>
      <c r="B63" s="8">
        <f>IF($A63="","",IFERROR(VLOOKUP($A63,PERSONEL!$A$2:$C$300,2,0),""))</f>
        <v/>
      </c>
      <c r="C63" s="9">
        <f>IF($A63="","",IFERROR(VLOOKUP($A63,PERSONEL!$A$2:$C$300,3,0),""))</f>
        <v/>
      </c>
      <c r="D63" s="10" t="n"/>
      <c r="E63" s="7" t="n"/>
      <c r="F63" s="7" t="n"/>
      <c r="G63" s="7" t="n"/>
      <c r="H63" s="7" t="n"/>
      <c r="I63" s="9" t="n"/>
      <c r="J63" s="7" t="n"/>
      <c r="K63" s="7" t="n"/>
      <c r="L63" s="7" t="n"/>
      <c r="M63" s="9" t="n"/>
      <c r="N63" s="9">
        <f>IF($E63="","",IF($S63&lt;&gt;"ÖDEMEDE",0,MIN($R63,IF($J63="Oran",IFERROR($C63*$K63/$L63,0),$M63))))</f>
        <v/>
      </c>
      <c r="O63" s="9" t="n"/>
      <c r="P63" s="9">
        <f>IF($E63="","",SUMIFS('AYLIK KESİNTİLER'!$E$2:$E$5000,'AYLIK KESİNTİLER'!$A$2:$A$5000,$A63,'AYLIK KESİNTİLER'!$B$2:$B$5000,$E63))</f>
        <v/>
      </c>
      <c r="Q63" s="9">
        <f>IF($E63="","",$O63+$P63)</f>
        <v/>
      </c>
      <c r="R63" s="9">
        <f>IF($E63="","",$I63-$Q63)</f>
        <v/>
      </c>
      <c r="S63" s="12">
        <f>IF($E63="","",IF($R63&lt;=0,"KAPANDI",IF(COUNTIFS($A$2:$A$300,$A63,$F$2:$F$300,"&lt;"&amp;$F63,$R$2:$R$300,"&gt;0")=0,"ÖDEMEDE","SIRADA")))</f>
        <v/>
      </c>
      <c r="T63" s="7" t="n"/>
      <c r="U63" s="7" t="n"/>
      <c r="V63">
        <f>IF($E63="","",$A63&amp;"|"&amp;$S63)</f>
        <v/>
      </c>
    </row>
    <row r="64">
      <c r="A64" s="7" t="n"/>
      <c r="B64" s="8">
        <f>IF($A64="","",IFERROR(VLOOKUP($A64,PERSONEL!$A$2:$C$300,2,0),""))</f>
        <v/>
      </c>
      <c r="C64" s="9">
        <f>IF($A64="","",IFERROR(VLOOKUP($A64,PERSONEL!$A$2:$C$300,3,0),""))</f>
        <v/>
      </c>
      <c r="D64" s="10" t="n"/>
      <c r="E64" s="7" t="n"/>
      <c r="F64" s="7" t="n"/>
      <c r="G64" s="7" t="n"/>
      <c r="H64" s="7" t="n"/>
      <c r="I64" s="9" t="n"/>
      <c r="J64" s="7" t="n"/>
      <c r="K64" s="7" t="n"/>
      <c r="L64" s="7" t="n"/>
      <c r="M64" s="9" t="n"/>
      <c r="N64" s="9">
        <f>IF($E64="","",IF($S64&lt;&gt;"ÖDEMEDE",0,MIN($R64,IF($J64="Oran",IFERROR($C64*$K64/$L64,0),$M64))))</f>
        <v/>
      </c>
      <c r="O64" s="9" t="n"/>
      <c r="P64" s="9">
        <f>IF($E64="","",SUMIFS('AYLIK KESİNTİLER'!$E$2:$E$5000,'AYLIK KESİNTİLER'!$A$2:$A$5000,$A64,'AYLIK KESİNTİLER'!$B$2:$B$5000,$E64))</f>
        <v/>
      </c>
      <c r="Q64" s="9">
        <f>IF($E64="","",$O64+$P64)</f>
        <v/>
      </c>
      <c r="R64" s="9">
        <f>IF($E64="","",$I64-$Q64)</f>
        <v/>
      </c>
      <c r="S64" s="12">
        <f>IF($E64="","",IF($R64&lt;=0,"KAPANDI",IF(COUNTIFS($A$2:$A$300,$A64,$F$2:$F$300,"&lt;"&amp;$F64,$R$2:$R$300,"&gt;0")=0,"ÖDEMEDE","SIRADA")))</f>
        <v/>
      </c>
      <c r="T64" s="7" t="n"/>
      <c r="U64" s="7" t="n"/>
      <c r="V64">
        <f>IF($E64="","",$A64&amp;"|"&amp;$S64)</f>
        <v/>
      </c>
    </row>
    <row r="65">
      <c r="A65" s="7" t="n"/>
      <c r="B65" s="8">
        <f>IF($A65="","",IFERROR(VLOOKUP($A65,PERSONEL!$A$2:$C$300,2,0),""))</f>
        <v/>
      </c>
      <c r="C65" s="9">
        <f>IF($A65="","",IFERROR(VLOOKUP($A65,PERSONEL!$A$2:$C$300,3,0),""))</f>
        <v/>
      </c>
      <c r="D65" s="10" t="n"/>
      <c r="E65" s="7" t="n"/>
      <c r="F65" s="7" t="n"/>
      <c r="G65" s="7" t="n"/>
      <c r="H65" s="7" t="n"/>
      <c r="I65" s="9" t="n"/>
      <c r="J65" s="7" t="n"/>
      <c r="K65" s="7" t="n"/>
      <c r="L65" s="7" t="n"/>
      <c r="M65" s="9" t="n"/>
      <c r="N65" s="9">
        <f>IF($E65="","",IF($S65&lt;&gt;"ÖDEMEDE",0,MIN($R65,IF($J65="Oran",IFERROR($C65*$K65/$L65,0),$M65))))</f>
        <v/>
      </c>
      <c r="O65" s="9" t="n"/>
      <c r="P65" s="9">
        <f>IF($E65="","",SUMIFS('AYLIK KESİNTİLER'!$E$2:$E$5000,'AYLIK KESİNTİLER'!$A$2:$A$5000,$A65,'AYLIK KESİNTİLER'!$B$2:$B$5000,$E65))</f>
        <v/>
      </c>
      <c r="Q65" s="9">
        <f>IF($E65="","",$O65+$P65)</f>
        <v/>
      </c>
      <c r="R65" s="9">
        <f>IF($E65="","",$I65-$Q65)</f>
        <v/>
      </c>
      <c r="S65" s="12">
        <f>IF($E65="","",IF($R65&lt;=0,"KAPANDI",IF(COUNTIFS($A$2:$A$300,$A65,$F$2:$F$300,"&lt;"&amp;$F65,$R$2:$R$300,"&gt;0")=0,"ÖDEMEDE","SIRADA")))</f>
        <v/>
      </c>
      <c r="T65" s="7" t="n"/>
      <c r="U65" s="7" t="n"/>
      <c r="V65">
        <f>IF($E65="","",$A65&amp;"|"&amp;$S65)</f>
        <v/>
      </c>
    </row>
    <row r="66">
      <c r="A66" s="7" t="n"/>
      <c r="B66" s="8">
        <f>IF($A66="","",IFERROR(VLOOKUP($A66,PERSONEL!$A$2:$C$300,2,0),""))</f>
        <v/>
      </c>
      <c r="C66" s="9">
        <f>IF($A66="","",IFERROR(VLOOKUP($A66,PERSONEL!$A$2:$C$300,3,0),""))</f>
        <v/>
      </c>
      <c r="D66" s="10" t="n"/>
      <c r="E66" s="7" t="n"/>
      <c r="F66" s="7" t="n"/>
      <c r="G66" s="7" t="n"/>
      <c r="H66" s="7" t="n"/>
      <c r="I66" s="9" t="n"/>
      <c r="J66" s="7" t="n"/>
      <c r="K66" s="7" t="n"/>
      <c r="L66" s="7" t="n"/>
      <c r="M66" s="9" t="n"/>
      <c r="N66" s="9">
        <f>IF($E66="","",IF($S66&lt;&gt;"ÖDEMEDE",0,MIN($R66,IF($J66="Oran",IFERROR($C66*$K66/$L66,0),$M66))))</f>
        <v/>
      </c>
      <c r="O66" s="9" t="n"/>
      <c r="P66" s="9">
        <f>IF($E66="","",SUMIFS('AYLIK KESİNTİLER'!$E$2:$E$5000,'AYLIK KESİNTİLER'!$A$2:$A$5000,$A66,'AYLIK KESİNTİLER'!$B$2:$B$5000,$E66))</f>
        <v/>
      </c>
      <c r="Q66" s="9">
        <f>IF($E66="","",$O66+$P66)</f>
        <v/>
      </c>
      <c r="R66" s="9">
        <f>IF($E66="","",$I66-$Q66)</f>
        <v/>
      </c>
      <c r="S66" s="12">
        <f>IF($E66="","",IF($R66&lt;=0,"KAPANDI",IF(COUNTIFS($A$2:$A$300,$A66,$F$2:$F$300,"&lt;"&amp;$F66,$R$2:$R$300,"&gt;0")=0,"ÖDEMEDE","SIRADA")))</f>
        <v/>
      </c>
      <c r="T66" s="7" t="n"/>
      <c r="U66" s="7" t="n"/>
      <c r="V66">
        <f>IF($E66="","",$A66&amp;"|"&amp;$S66)</f>
        <v/>
      </c>
    </row>
    <row r="67">
      <c r="A67" s="7" t="n"/>
      <c r="B67" s="8">
        <f>IF($A67="","",IFERROR(VLOOKUP($A67,PERSONEL!$A$2:$C$300,2,0),""))</f>
        <v/>
      </c>
      <c r="C67" s="9">
        <f>IF($A67="","",IFERROR(VLOOKUP($A67,PERSONEL!$A$2:$C$300,3,0),""))</f>
        <v/>
      </c>
      <c r="D67" s="10" t="n"/>
      <c r="E67" s="7" t="n"/>
      <c r="F67" s="7" t="n"/>
      <c r="G67" s="7" t="n"/>
      <c r="H67" s="7" t="n"/>
      <c r="I67" s="9" t="n"/>
      <c r="J67" s="7" t="n"/>
      <c r="K67" s="7" t="n"/>
      <c r="L67" s="7" t="n"/>
      <c r="M67" s="9" t="n"/>
      <c r="N67" s="9">
        <f>IF($E67="","",IF($S67&lt;&gt;"ÖDEMEDE",0,MIN($R67,IF($J67="Oran",IFERROR($C67*$K67/$L67,0),$M67))))</f>
        <v/>
      </c>
      <c r="O67" s="9" t="n"/>
      <c r="P67" s="9">
        <f>IF($E67="","",SUMIFS('AYLIK KESİNTİLER'!$E$2:$E$5000,'AYLIK KESİNTİLER'!$A$2:$A$5000,$A67,'AYLIK KESİNTİLER'!$B$2:$B$5000,$E67))</f>
        <v/>
      </c>
      <c r="Q67" s="9">
        <f>IF($E67="","",$O67+$P67)</f>
        <v/>
      </c>
      <c r="R67" s="9">
        <f>IF($E67="","",$I67-$Q67)</f>
        <v/>
      </c>
      <c r="S67" s="12">
        <f>IF($E67="","",IF($R67&lt;=0,"KAPANDI",IF(COUNTIFS($A$2:$A$300,$A67,$F$2:$F$300,"&lt;"&amp;$F67,$R$2:$R$300,"&gt;0")=0,"ÖDEMEDE","SIRADA")))</f>
        <v/>
      </c>
      <c r="T67" s="7" t="n"/>
      <c r="U67" s="7" t="n"/>
      <c r="V67">
        <f>IF($E67="","",$A67&amp;"|"&amp;$S67)</f>
        <v/>
      </c>
    </row>
    <row r="68">
      <c r="A68" s="7" t="n"/>
      <c r="B68" s="8">
        <f>IF($A68="","",IFERROR(VLOOKUP($A68,PERSONEL!$A$2:$C$300,2,0),""))</f>
        <v/>
      </c>
      <c r="C68" s="9">
        <f>IF($A68="","",IFERROR(VLOOKUP($A68,PERSONEL!$A$2:$C$300,3,0),""))</f>
        <v/>
      </c>
      <c r="D68" s="10" t="n"/>
      <c r="E68" s="7" t="n"/>
      <c r="F68" s="7" t="n"/>
      <c r="G68" s="7" t="n"/>
      <c r="H68" s="7" t="n"/>
      <c r="I68" s="9" t="n"/>
      <c r="J68" s="7" t="n"/>
      <c r="K68" s="7" t="n"/>
      <c r="L68" s="7" t="n"/>
      <c r="M68" s="9" t="n"/>
      <c r="N68" s="9">
        <f>IF($E68="","",IF($S68&lt;&gt;"ÖDEMEDE",0,MIN($R68,IF($J68="Oran",IFERROR($C68*$K68/$L68,0),$M68))))</f>
        <v/>
      </c>
      <c r="O68" s="9" t="n"/>
      <c r="P68" s="9">
        <f>IF($E68="","",SUMIFS('AYLIK KESİNTİLER'!$E$2:$E$5000,'AYLIK KESİNTİLER'!$A$2:$A$5000,$A68,'AYLIK KESİNTİLER'!$B$2:$B$5000,$E68))</f>
        <v/>
      </c>
      <c r="Q68" s="9">
        <f>IF($E68="","",$O68+$P68)</f>
        <v/>
      </c>
      <c r="R68" s="9">
        <f>IF($E68="","",$I68-$Q68)</f>
        <v/>
      </c>
      <c r="S68" s="12">
        <f>IF($E68="","",IF($R68&lt;=0,"KAPANDI",IF(COUNTIFS($A$2:$A$300,$A68,$F$2:$F$300,"&lt;"&amp;$F68,$R$2:$R$300,"&gt;0")=0,"ÖDEMEDE","SIRADA")))</f>
        <v/>
      </c>
      <c r="T68" s="7" t="n"/>
      <c r="U68" s="7" t="n"/>
      <c r="V68">
        <f>IF($E68="","",$A68&amp;"|"&amp;$S68)</f>
        <v/>
      </c>
    </row>
    <row r="69">
      <c r="A69" s="7" t="n"/>
      <c r="B69" s="8">
        <f>IF($A69="","",IFERROR(VLOOKUP($A69,PERSONEL!$A$2:$C$300,2,0),""))</f>
        <v/>
      </c>
      <c r="C69" s="9">
        <f>IF($A69="","",IFERROR(VLOOKUP($A69,PERSONEL!$A$2:$C$300,3,0),""))</f>
        <v/>
      </c>
      <c r="D69" s="10" t="n"/>
      <c r="E69" s="7" t="n"/>
      <c r="F69" s="7" t="n"/>
      <c r="G69" s="7" t="n"/>
      <c r="H69" s="7" t="n"/>
      <c r="I69" s="9" t="n"/>
      <c r="J69" s="7" t="n"/>
      <c r="K69" s="7" t="n"/>
      <c r="L69" s="7" t="n"/>
      <c r="M69" s="9" t="n"/>
      <c r="N69" s="9">
        <f>IF($E69="","",IF($S69&lt;&gt;"ÖDEMEDE",0,MIN($R69,IF($J69="Oran",IFERROR($C69*$K69/$L69,0),$M69))))</f>
        <v/>
      </c>
      <c r="O69" s="9" t="n"/>
      <c r="P69" s="9">
        <f>IF($E69="","",SUMIFS('AYLIK KESİNTİLER'!$E$2:$E$5000,'AYLIK KESİNTİLER'!$A$2:$A$5000,$A69,'AYLIK KESİNTİLER'!$B$2:$B$5000,$E69))</f>
        <v/>
      </c>
      <c r="Q69" s="9">
        <f>IF($E69="","",$O69+$P69)</f>
        <v/>
      </c>
      <c r="R69" s="9">
        <f>IF($E69="","",$I69-$Q69)</f>
        <v/>
      </c>
      <c r="S69" s="12">
        <f>IF($E69="","",IF($R69&lt;=0,"KAPANDI",IF(COUNTIFS($A$2:$A$300,$A69,$F$2:$F$300,"&lt;"&amp;$F69,$R$2:$R$300,"&gt;0")=0,"ÖDEMEDE","SIRADA")))</f>
        <v/>
      </c>
      <c r="T69" s="7" t="n"/>
      <c r="U69" s="7" t="n"/>
      <c r="V69">
        <f>IF($E69="","",$A69&amp;"|"&amp;$S69)</f>
        <v/>
      </c>
    </row>
    <row r="70">
      <c r="A70" s="7" t="n"/>
      <c r="B70" s="8">
        <f>IF($A70="","",IFERROR(VLOOKUP($A70,PERSONEL!$A$2:$C$300,2,0),""))</f>
        <v/>
      </c>
      <c r="C70" s="9">
        <f>IF($A70="","",IFERROR(VLOOKUP($A70,PERSONEL!$A$2:$C$300,3,0),""))</f>
        <v/>
      </c>
      <c r="D70" s="10" t="n"/>
      <c r="E70" s="7" t="n"/>
      <c r="F70" s="7" t="n"/>
      <c r="G70" s="7" t="n"/>
      <c r="H70" s="7" t="n"/>
      <c r="I70" s="9" t="n"/>
      <c r="J70" s="7" t="n"/>
      <c r="K70" s="7" t="n"/>
      <c r="L70" s="7" t="n"/>
      <c r="M70" s="9" t="n"/>
      <c r="N70" s="9">
        <f>IF($E70="","",IF($S70&lt;&gt;"ÖDEMEDE",0,MIN($R70,IF($J70="Oran",IFERROR($C70*$K70/$L70,0),$M70))))</f>
        <v/>
      </c>
      <c r="O70" s="9" t="n"/>
      <c r="P70" s="9">
        <f>IF($E70="","",SUMIFS('AYLIK KESİNTİLER'!$E$2:$E$5000,'AYLIK KESİNTİLER'!$A$2:$A$5000,$A70,'AYLIK KESİNTİLER'!$B$2:$B$5000,$E70))</f>
        <v/>
      </c>
      <c r="Q70" s="9">
        <f>IF($E70="","",$O70+$P70)</f>
        <v/>
      </c>
      <c r="R70" s="9">
        <f>IF($E70="","",$I70-$Q70)</f>
        <v/>
      </c>
      <c r="S70" s="12">
        <f>IF($E70="","",IF($R70&lt;=0,"KAPANDI",IF(COUNTIFS($A$2:$A$300,$A70,$F$2:$F$300,"&lt;"&amp;$F70,$R$2:$R$300,"&gt;0")=0,"ÖDEMEDE","SIRADA")))</f>
        <v/>
      </c>
      <c r="T70" s="7" t="n"/>
      <c r="U70" s="7" t="n"/>
      <c r="V70">
        <f>IF($E70="","",$A70&amp;"|"&amp;$S70)</f>
        <v/>
      </c>
    </row>
    <row r="71">
      <c r="A71" s="7" t="n"/>
      <c r="B71" s="8">
        <f>IF($A71="","",IFERROR(VLOOKUP($A71,PERSONEL!$A$2:$C$300,2,0),""))</f>
        <v/>
      </c>
      <c r="C71" s="9">
        <f>IF($A71="","",IFERROR(VLOOKUP($A71,PERSONEL!$A$2:$C$300,3,0),""))</f>
        <v/>
      </c>
      <c r="D71" s="10" t="n"/>
      <c r="E71" s="7" t="n"/>
      <c r="F71" s="7" t="n"/>
      <c r="G71" s="7" t="n"/>
      <c r="H71" s="7" t="n"/>
      <c r="I71" s="9" t="n"/>
      <c r="J71" s="7" t="n"/>
      <c r="K71" s="7" t="n"/>
      <c r="L71" s="7" t="n"/>
      <c r="M71" s="9" t="n"/>
      <c r="N71" s="9">
        <f>IF($E71="","",IF($S71&lt;&gt;"ÖDEMEDE",0,MIN($R71,IF($J71="Oran",IFERROR($C71*$K71/$L71,0),$M71))))</f>
        <v/>
      </c>
      <c r="O71" s="9" t="n"/>
      <c r="P71" s="9">
        <f>IF($E71="","",SUMIFS('AYLIK KESİNTİLER'!$E$2:$E$5000,'AYLIK KESİNTİLER'!$A$2:$A$5000,$A71,'AYLIK KESİNTİLER'!$B$2:$B$5000,$E71))</f>
        <v/>
      </c>
      <c r="Q71" s="9">
        <f>IF($E71="","",$O71+$P71)</f>
        <v/>
      </c>
      <c r="R71" s="9">
        <f>IF($E71="","",$I71-$Q71)</f>
        <v/>
      </c>
      <c r="S71" s="12">
        <f>IF($E71="","",IF($R71&lt;=0,"KAPANDI",IF(COUNTIFS($A$2:$A$300,$A71,$F$2:$F$300,"&lt;"&amp;$F71,$R$2:$R$300,"&gt;0")=0,"ÖDEMEDE","SIRADA")))</f>
        <v/>
      </c>
      <c r="T71" s="7" t="n"/>
      <c r="U71" s="7" t="n"/>
      <c r="V71">
        <f>IF($E71="","",$A71&amp;"|"&amp;$S71)</f>
        <v/>
      </c>
    </row>
    <row r="72">
      <c r="A72" s="7" t="n"/>
      <c r="B72" s="8">
        <f>IF($A72="","",IFERROR(VLOOKUP($A72,PERSONEL!$A$2:$C$300,2,0),""))</f>
        <v/>
      </c>
      <c r="C72" s="9">
        <f>IF($A72="","",IFERROR(VLOOKUP($A72,PERSONEL!$A$2:$C$300,3,0),""))</f>
        <v/>
      </c>
      <c r="D72" s="10" t="n"/>
      <c r="E72" s="7" t="n"/>
      <c r="F72" s="7" t="n"/>
      <c r="G72" s="7" t="n"/>
      <c r="H72" s="7" t="n"/>
      <c r="I72" s="9" t="n"/>
      <c r="J72" s="7" t="n"/>
      <c r="K72" s="7" t="n"/>
      <c r="L72" s="7" t="n"/>
      <c r="M72" s="9" t="n"/>
      <c r="N72" s="9">
        <f>IF($E72="","",IF($S72&lt;&gt;"ÖDEMEDE",0,MIN($R72,IF($J72="Oran",IFERROR($C72*$K72/$L72,0),$M72))))</f>
        <v/>
      </c>
      <c r="O72" s="9" t="n"/>
      <c r="P72" s="9">
        <f>IF($E72="","",SUMIFS('AYLIK KESİNTİLER'!$E$2:$E$5000,'AYLIK KESİNTİLER'!$A$2:$A$5000,$A72,'AYLIK KESİNTİLER'!$B$2:$B$5000,$E72))</f>
        <v/>
      </c>
      <c r="Q72" s="9">
        <f>IF($E72="","",$O72+$P72)</f>
        <v/>
      </c>
      <c r="R72" s="9">
        <f>IF($E72="","",$I72-$Q72)</f>
        <v/>
      </c>
      <c r="S72" s="12">
        <f>IF($E72="","",IF($R72&lt;=0,"KAPANDI",IF(COUNTIFS($A$2:$A$300,$A72,$F$2:$F$300,"&lt;"&amp;$F72,$R$2:$R$300,"&gt;0")=0,"ÖDEMEDE","SIRADA")))</f>
        <v/>
      </c>
      <c r="T72" s="7" t="n"/>
      <c r="U72" s="7" t="n"/>
      <c r="V72">
        <f>IF($E72="","",$A72&amp;"|"&amp;$S72)</f>
        <v/>
      </c>
    </row>
    <row r="73">
      <c r="A73" s="7" t="n"/>
      <c r="B73" s="8">
        <f>IF($A73="","",IFERROR(VLOOKUP($A73,PERSONEL!$A$2:$C$300,2,0),""))</f>
        <v/>
      </c>
      <c r="C73" s="9">
        <f>IF($A73="","",IFERROR(VLOOKUP($A73,PERSONEL!$A$2:$C$300,3,0),""))</f>
        <v/>
      </c>
      <c r="D73" s="10" t="n"/>
      <c r="E73" s="7" t="n"/>
      <c r="F73" s="7" t="n"/>
      <c r="G73" s="7" t="n"/>
      <c r="H73" s="7" t="n"/>
      <c r="I73" s="9" t="n"/>
      <c r="J73" s="7" t="n"/>
      <c r="K73" s="7" t="n"/>
      <c r="L73" s="7" t="n"/>
      <c r="M73" s="9" t="n"/>
      <c r="N73" s="9">
        <f>IF($E73="","",IF($S73&lt;&gt;"ÖDEMEDE",0,MIN($R73,IF($J73="Oran",IFERROR($C73*$K73/$L73,0),$M73))))</f>
        <v/>
      </c>
      <c r="O73" s="9" t="n"/>
      <c r="P73" s="9">
        <f>IF($E73="","",SUMIFS('AYLIK KESİNTİLER'!$E$2:$E$5000,'AYLIK KESİNTİLER'!$A$2:$A$5000,$A73,'AYLIK KESİNTİLER'!$B$2:$B$5000,$E73))</f>
        <v/>
      </c>
      <c r="Q73" s="9">
        <f>IF($E73="","",$O73+$P73)</f>
        <v/>
      </c>
      <c r="R73" s="9">
        <f>IF($E73="","",$I73-$Q73)</f>
        <v/>
      </c>
      <c r="S73" s="12">
        <f>IF($E73="","",IF($R73&lt;=0,"KAPANDI",IF(COUNTIFS($A$2:$A$300,$A73,$F$2:$F$300,"&lt;"&amp;$F73,$R$2:$R$300,"&gt;0")=0,"ÖDEMEDE","SIRADA")))</f>
        <v/>
      </c>
      <c r="T73" s="7" t="n"/>
      <c r="U73" s="7" t="n"/>
      <c r="V73">
        <f>IF($E73="","",$A73&amp;"|"&amp;$S73)</f>
        <v/>
      </c>
    </row>
    <row r="74">
      <c r="A74" s="7" t="n"/>
      <c r="B74" s="8">
        <f>IF($A74="","",IFERROR(VLOOKUP($A74,PERSONEL!$A$2:$C$300,2,0),""))</f>
        <v/>
      </c>
      <c r="C74" s="9">
        <f>IF($A74="","",IFERROR(VLOOKUP($A74,PERSONEL!$A$2:$C$300,3,0),""))</f>
        <v/>
      </c>
      <c r="D74" s="10" t="n"/>
      <c r="E74" s="7" t="n"/>
      <c r="F74" s="7" t="n"/>
      <c r="G74" s="7" t="n"/>
      <c r="H74" s="7" t="n"/>
      <c r="I74" s="9" t="n"/>
      <c r="J74" s="7" t="n"/>
      <c r="K74" s="7" t="n"/>
      <c r="L74" s="7" t="n"/>
      <c r="M74" s="9" t="n"/>
      <c r="N74" s="9">
        <f>IF($E74="","",IF($S74&lt;&gt;"ÖDEMEDE",0,MIN($R74,IF($J74="Oran",IFERROR($C74*$K74/$L74,0),$M74))))</f>
        <v/>
      </c>
      <c r="O74" s="9" t="n"/>
      <c r="P74" s="9">
        <f>IF($E74="","",SUMIFS('AYLIK KESİNTİLER'!$E$2:$E$5000,'AYLIK KESİNTİLER'!$A$2:$A$5000,$A74,'AYLIK KESİNTİLER'!$B$2:$B$5000,$E74))</f>
        <v/>
      </c>
      <c r="Q74" s="9">
        <f>IF($E74="","",$O74+$P74)</f>
        <v/>
      </c>
      <c r="R74" s="9">
        <f>IF($E74="","",$I74-$Q74)</f>
        <v/>
      </c>
      <c r="S74" s="12">
        <f>IF($E74="","",IF($R74&lt;=0,"KAPANDI",IF(COUNTIFS($A$2:$A$300,$A74,$F$2:$F$300,"&lt;"&amp;$F74,$R$2:$R$300,"&gt;0")=0,"ÖDEMEDE","SIRADA")))</f>
        <v/>
      </c>
      <c r="T74" s="7" t="n"/>
      <c r="U74" s="7" t="n"/>
      <c r="V74">
        <f>IF($E74="","",$A74&amp;"|"&amp;$S74)</f>
        <v/>
      </c>
    </row>
    <row r="75">
      <c r="A75" s="7" t="n"/>
      <c r="B75" s="8">
        <f>IF($A75="","",IFERROR(VLOOKUP($A75,PERSONEL!$A$2:$C$300,2,0),""))</f>
        <v/>
      </c>
      <c r="C75" s="9">
        <f>IF($A75="","",IFERROR(VLOOKUP($A75,PERSONEL!$A$2:$C$300,3,0),""))</f>
        <v/>
      </c>
      <c r="D75" s="10" t="n"/>
      <c r="E75" s="7" t="n"/>
      <c r="F75" s="7" t="n"/>
      <c r="G75" s="7" t="n"/>
      <c r="H75" s="7" t="n"/>
      <c r="I75" s="9" t="n"/>
      <c r="J75" s="7" t="n"/>
      <c r="K75" s="7" t="n"/>
      <c r="L75" s="7" t="n"/>
      <c r="M75" s="9" t="n"/>
      <c r="N75" s="9">
        <f>IF($E75="","",IF($S75&lt;&gt;"ÖDEMEDE",0,MIN($R75,IF($J75="Oran",IFERROR($C75*$K75/$L75,0),$M75))))</f>
        <v/>
      </c>
      <c r="O75" s="9" t="n"/>
      <c r="P75" s="9">
        <f>IF($E75="","",SUMIFS('AYLIK KESİNTİLER'!$E$2:$E$5000,'AYLIK KESİNTİLER'!$A$2:$A$5000,$A75,'AYLIK KESİNTİLER'!$B$2:$B$5000,$E75))</f>
        <v/>
      </c>
      <c r="Q75" s="9">
        <f>IF($E75="","",$O75+$P75)</f>
        <v/>
      </c>
      <c r="R75" s="9">
        <f>IF($E75="","",$I75-$Q75)</f>
        <v/>
      </c>
      <c r="S75" s="12">
        <f>IF($E75="","",IF($R75&lt;=0,"KAPANDI",IF(COUNTIFS($A$2:$A$300,$A75,$F$2:$F$300,"&lt;"&amp;$F75,$R$2:$R$300,"&gt;0")=0,"ÖDEMEDE","SIRADA")))</f>
        <v/>
      </c>
      <c r="T75" s="7" t="n"/>
      <c r="U75" s="7" t="n"/>
      <c r="V75">
        <f>IF($E75="","",$A75&amp;"|"&amp;$S75)</f>
        <v/>
      </c>
    </row>
    <row r="76">
      <c r="A76" s="7" t="n"/>
      <c r="B76" s="8">
        <f>IF($A76="","",IFERROR(VLOOKUP($A76,PERSONEL!$A$2:$C$300,2,0),""))</f>
        <v/>
      </c>
      <c r="C76" s="9">
        <f>IF($A76="","",IFERROR(VLOOKUP($A76,PERSONEL!$A$2:$C$300,3,0),""))</f>
        <v/>
      </c>
      <c r="D76" s="10" t="n"/>
      <c r="E76" s="7" t="n"/>
      <c r="F76" s="7" t="n"/>
      <c r="G76" s="7" t="n"/>
      <c r="H76" s="7" t="n"/>
      <c r="I76" s="9" t="n"/>
      <c r="J76" s="7" t="n"/>
      <c r="K76" s="7" t="n"/>
      <c r="L76" s="7" t="n"/>
      <c r="M76" s="9" t="n"/>
      <c r="N76" s="9">
        <f>IF($E76="","",IF($S76&lt;&gt;"ÖDEMEDE",0,MIN($R76,IF($J76="Oran",IFERROR($C76*$K76/$L76,0),$M76))))</f>
        <v/>
      </c>
      <c r="O76" s="9" t="n"/>
      <c r="P76" s="9">
        <f>IF($E76="","",SUMIFS('AYLIK KESİNTİLER'!$E$2:$E$5000,'AYLIK KESİNTİLER'!$A$2:$A$5000,$A76,'AYLIK KESİNTİLER'!$B$2:$B$5000,$E76))</f>
        <v/>
      </c>
      <c r="Q76" s="9">
        <f>IF($E76="","",$O76+$P76)</f>
        <v/>
      </c>
      <c r="R76" s="9">
        <f>IF($E76="","",$I76-$Q76)</f>
        <v/>
      </c>
      <c r="S76" s="12">
        <f>IF($E76="","",IF($R76&lt;=0,"KAPANDI",IF(COUNTIFS($A$2:$A$300,$A76,$F$2:$F$300,"&lt;"&amp;$F76,$R$2:$R$300,"&gt;0")=0,"ÖDEMEDE","SIRADA")))</f>
        <v/>
      </c>
      <c r="T76" s="7" t="n"/>
      <c r="U76" s="7" t="n"/>
      <c r="V76">
        <f>IF($E76="","",$A76&amp;"|"&amp;$S76)</f>
        <v/>
      </c>
    </row>
    <row r="77">
      <c r="A77" s="7" t="n"/>
      <c r="B77" s="8">
        <f>IF($A77="","",IFERROR(VLOOKUP($A77,PERSONEL!$A$2:$C$300,2,0),""))</f>
        <v/>
      </c>
      <c r="C77" s="9">
        <f>IF($A77="","",IFERROR(VLOOKUP($A77,PERSONEL!$A$2:$C$300,3,0),""))</f>
        <v/>
      </c>
      <c r="D77" s="10" t="n"/>
      <c r="E77" s="7" t="n"/>
      <c r="F77" s="7" t="n"/>
      <c r="G77" s="7" t="n"/>
      <c r="H77" s="7" t="n"/>
      <c r="I77" s="9" t="n"/>
      <c r="J77" s="7" t="n"/>
      <c r="K77" s="7" t="n"/>
      <c r="L77" s="7" t="n"/>
      <c r="M77" s="9" t="n"/>
      <c r="N77" s="9">
        <f>IF($E77="","",IF($S77&lt;&gt;"ÖDEMEDE",0,MIN($R77,IF($J77="Oran",IFERROR($C77*$K77/$L77,0),$M77))))</f>
        <v/>
      </c>
      <c r="O77" s="9" t="n"/>
      <c r="P77" s="9">
        <f>IF($E77="","",SUMIFS('AYLIK KESİNTİLER'!$E$2:$E$5000,'AYLIK KESİNTİLER'!$A$2:$A$5000,$A77,'AYLIK KESİNTİLER'!$B$2:$B$5000,$E77))</f>
        <v/>
      </c>
      <c r="Q77" s="9">
        <f>IF($E77="","",$O77+$P77)</f>
        <v/>
      </c>
      <c r="R77" s="9">
        <f>IF($E77="","",$I77-$Q77)</f>
        <v/>
      </c>
      <c r="S77" s="12">
        <f>IF($E77="","",IF($R77&lt;=0,"KAPANDI",IF(COUNTIFS($A$2:$A$300,$A77,$F$2:$F$300,"&lt;"&amp;$F77,$R$2:$R$300,"&gt;0")=0,"ÖDEMEDE","SIRADA")))</f>
        <v/>
      </c>
      <c r="T77" s="7" t="n"/>
      <c r="U77" s="7" t="n"/>
      <c r="V77">
        <f>IF($E77="","",$A77&amp;"|"&amp;$S77)</f>
        <v/>
      </c>
    </row>
    <row r="78">
      <c r="A78" s="7" t="n"/>
      <c r="B78" s="8">
        <f>IF($A78="","",IFERROR(VLOOKUP($A78,PERSONEL!$A$2:$C$300,2,0),""))</f>
        <v/>
      </c>
      <c r="C78" s="9">
        <f>IF($A78="","",IFERROR(VLOOKUP($A78,PERSONEL!$A$2:$C$300,3,0),""))</f>
        <v/>
      </c>
      <c r="D78" s="10" t="n"/>
      <c r="E78" s="7" t="n"/>
      <c r="F78" s="7" t="n"/>
      <c r="G78" s="7" t="n"/>
      <c r="H78" s="7" t="n"/>
      <c r="I78" s="9" t="n"/>
      <c r="J78" s="7" t="n"/>
      <c r="K78" s="7" t="n"/>
      <c r="L78" s="7" t="n"/>
      <c r="M78" s="9" t="n"/>
      <c r="N78" s="9">
        <f>IF($E78="","",IF($S78&lt;&gt;"ÖDEMEDE",0,MIN($R78,IF($J78="Oran",IFERROR($C78*$K78/$L78,0),$M78))))</f>
        <v/>
      </c>
      <c r="O78" s="9" t="n"/>
      <c r="P78" s="9">
        <f>IF($E78="","",SUMIFS('AYLIK KESİNTİLER'!$E$2:$E$5000,'AYLIK KESİNTİLER'!$A$2:$A$5000,$A78,'AYLIK KESİNTİLER'!$B$2:$B$5000,$E78))</f>
        <v/>
      </c>
      <c r="Q78" s="9">
        <f>IF($E78="","",$O78+$P78)</f>
        <v/>
      </c>
      <c r="R78" s="9">
        <f>IF($E78="","",$I78-$Q78)</f>
        <v/>
      </c>
      <c r="S78" s="12">
        <f>IF($E78="","",IF($R78&lt;=0,"KAPANDI",IF(COUNTIFS($A$2:$A$300,$A78,$F$2:$F$300,"&lt;"&amp;$F78,$R$2:$R$300,"&gt;0")=0,"ÖDEMEDE","SIRADA")))</f>
        <v/>
      </c>
      <c r="T78" s="7" t="n"/>
      <c r="U78" s="7" t="n"/>
      <c r="V78">
        <f>IF($E78="","",$A78&amp;"|"&amp;$S78)</f>
        <v/>
      </c>
    </row>
    <row r="79">
      <c r="A79" s="7" t="n"/>
      <c r="B79" s="8">
        <f>IF($A79="","",IFERROR(VLOOKUP($A79,PERSONEL!$A$2:$C$300,2,0),""))</f>
        <v/>
      </c>
      <c r="C79" s="9">
        <f>IF($A79="","",IFERROR(VLOOKUP($A79,PERSONEL!$A$2:$C$300,3,0),""))</f>
        <v/>
      </c>
      <c r="D79" s="10" t="n"/>
      <c r="E79" s="7" t="n"/>
      <c r="F79" s="7" t="n"/>
      <c r="G79" s="7" t="n"/>
      <c r="H79" s="7" t="n"/>
      <c r="I79" s="9" t="n"/>
      <c r="J79" s="7" t="n"/>
      <c r="K79" s="7" t="n"/>
      <c r="L79" s="7" t="n"/>
      <c r="M79" s="9" t="n"/>
      <c r="N79" s="9">
        <f>IF($E79="","",IF($S79&lt;&gt;"ÖDEMEDE",0,MIN($R79,IF($J79="Oran",IFERROR($C79*$K79/$L79,0),$M79))))</f>
        <v/>
      </c>
      <c r="O79" s="9" t="n"/>
      <c r="P79" s="9">
        <f>IF($E79="","",SUMIFS('AYLIK KESİNTİLER'!$E$2:$E$5000,'AYLIK KESİNTİLER'!$A$2:$A$5000,$A79,'AYLIK KESİNTİLER'!$B$2:$B$5000,$E79))</f>
        <v/>
      </c>
      <c r="Q79" s="9">
        <f>IF($E79="","",$O79+$P79)</f>
        <v/>
      </c>
      <c r="R79" s="9">
        <f>IF($E79="","",$I79-$Q79)</f>
        <v/>
      </c>
      <c r="S79" s="12">
        <f>IF($E79="","",IF($R79&lt;=0,"KAPANDI",IF(COUNTIFS($A$2:$A$300,$A79,$F$2:$F$300,"&lt;"&amp;$F79,$R$2:$R$300,"&gt;0")=0,"ÖDEMEDE","SIRADA")))</f>
        <v/>
      </c>
      <c r="T79" s="7" t="n"/>
      <c r="U79" s="7" t="n"/>
      <c r="V79">
        <f>IF($E79="","",$A79&amp;"|"&amp;$S79)</f>
        <v/>
      </c>
    </row>
    <row r="80">
      <c r="A80" s="7" t="n"/>
      <c r="B80" s="8">
        <f>IF($A80="","",IFERROR(VLOOKUP($A80,PERSONEL!$A$2:$C$300,2,0),""))</f>
        <v/>
      </c>
      <c r="C80" s="9">
        <f>IF($A80="","",IFERROR(VLOOKUP($A80,PERSONEL!$A$2:$C$300,3,0),""))</f>
        <v/>
      </c>
      <c r="D80" s="10" t="n"/>
      <c r="E80" s="7" t="n"/>
      <c r="F80" s="7" t="n"/>
      <c r="G80" s="7" t="n"/>
      <c r="H80" s="7" t="n"/>
      <c r="I80" s="9" t="n"/>
      <c r="J80" s="7" t="n"/>
      <c r="K80" s="7" t="n"/>
      <c r="L80" s="7" t="n"/>
      <c r="M80" s="9" t="n"/>
      <c r="N80" s="9">
        <f>IF($E80="","",IF($S80&lt;&gt;"ÖDEMEDE",0,MIN($R80,IF($J80="Oran",IFERROR($C80*$K80/$L80,0),$M80))))</f>
        <v/>
      </c>
      <c r="O80" s="9" t="n"/>
      <c r="P80" s="9">
        <f>IF($E80="","",SUMIFS('AYLIK KESİNTİLER'!$E$2:$E$5000,'AYLIK KESİNTİLER'!$A$2:$A$5000,$A80,'AYLIK KESİNTİLER'!$B$2:$B$5000,$E80))</f>
        <v/>
      </c>
      <c r="Q80" s="9">
        <f>IF($E80="","",$O80+$P80)</f>
        <v/>
      </c>
      <c r="R80" s="9">
        <f>IF($E80="","",$I80-$Q80)</f>
        <v/>
      </c>
      <c r="S80" s="12">
        <f>IF($E80="","",IF($R80&lt;=0,"KAPANDI",IF(COUNTIFS($A$2:$A$300,$A80,$F$2:$F$300,"&lt;"&amp;$F80,$R$2:$R$300,"&gt;0")=0,"ÖDEMEDE","SIRADA")))</f>
        <v/>
      </c>
      <c r="T80" s="7" t="n"/>
      <c r="U80" s="7" t="n"/>
      <c r="V80">
        <f>IF($E80="","",$A80&amp;"|"&amp;$S80)</f>
        <v/>
      </c>
    </row>
    <row r="81">
      <c r="A81" s="7" t="n"/>
      <c r="B81" s="8">
        <f>IF($A81="","",IFERROR(VLOOKUP($A81,PERSONEL!$A$2:$C$300,2,0),""))</f>
        <v/>
      </c>
      <c r="C81" s="9">
        <f>IF($A81="","",IFERROR(VLOOKUP($A81,PERSONEL!$A$2:$C$300,3,0),""))</f>
        <v/>
      </c>
      <c r="D81" s="10" t="n"/>
      <c r="E81" s="7" t="n"/>
      <c r="F81" s="7" t="n"/>
      <c r="G81" s="7" t="n"/>
      <c r="H81" s="7" t="n"/>
      <c r="I81" s="9" t="n"/>
      <c r="J81" s="7" t="n"/>
      <c r="K81" s="7" t="n"/>
      <c r="L81" s="7" t="n"/>
      <c r="M81" s="9" t="n"/>
      <c r="N81" s="9">
        <f>IF($E81="","",IF($S81&lt;&gt;"ÖDEMEDE",0,MIN($R81,IF($J81="Oran",IFERROR($C81*$K81/$L81,0),$M81))))</f>
        <v/>
      </c>
      <c r="O81" s="9" t="n"/>
      <c r="P81" s="9">
        <f>IF($E81="","",SUMIFS('AYLIK KESİNTİLER'!$E$2:$E$5000,'AYLIK KESİNTİLER'!$A$2:$A$5000,$A81,'AYLIK KESİNTİLER'!$B$2:$B$5000,$E81))</f>
        <v/>
      </c>
      <c r="Q81" s="9">
        <f>IF($E81="","",$O81+$P81)</f>
        <v/>
      </c>
      <c r="R81" s="9">
        <f>IF($E81="","",$I81-$Q81)</f>
        <v/>
      </c>
      <c r="S81" s="12">
        <f>IF($E81="","",IF($R81&lt;=0,"KAPANDI",IF(COUNTIFS($A$2:$A$300,$A81,$F$2:$F$300,"&lt;"&amp;$F81,$R$2:$R$300,"&gt;0")=0,"ÖDEMEDE","SIRADA")))</f>
        <v/>
      </c>
      <c r="T81" s="7" t="n"/>
      <c r="U81" s="7" t="n"/>
      <c r="V81">
        <f>IF($E81="","",$A81&amp;"|"&amp;$S81)</f>
        <v/>
      </c>
    </row>
    <row r="82">
      <c r="A82" s="7" t="n"/>
      <c r="B82" s="8">
        <f>IF($A82="","",IFERROR(VLOOKUP($A82,PERSONEL!$A$2:$C$300,2,0),""))</f>
        <v/>
      </c>
      <c r="C82" s="9">
        <f>IF($A82="","",IFERROR(VLOOKUP($A82,PERSONEL!$A$2:$C$300,3,0),""))</f>
        <v/>
      </c>
      <c r="D82" s="10" t="n"/>
      <c r="E82" s="7" t="n"/>
      <c r="F82" s="7" t="n"/>
      <c r="G82" s="7" t="n"/>
      <c r="H82" s="7" t="n"/>
      <c r="I82" s="9" t="n"/>
      <c r="J82" s="7" t="n"/>
      <c r="K82" s="7" t="n"/>
      <c r="L82" s="7" t="n"/>
      <c r="M82" s="9" t="n"/>
      <c r="N82" s="9">
        <f>IF($E82="","",IF($S82&lt;&gt;"ÖDEMEDE",0,MIN($R82,IF($J82="Oran",IFERROR($C82*$K82/$L82,0),$M82))))</f>
        <v/>
      </c>
      <c r="O82" s="9" t="n"/>
      <c r="P82" s="9">
        <f>IF($E82="","",SUMIFS('AYLIK KESİNTİLER'!$E$2:$E$5000,'AYLIK KESİNTİLER'!$A$2:$A$5000,$A82,'AYLIK KESİNTİLER'!$B$2:$B$5000,$E82))</f>
        <v/>
      </c>
      <c r="Q82" s="9">
        <f>IF($E82="","",$O82+$P82)</f>
        <v/>
      </c>
      <c r="R82" s="9">
        <f>IF($E82="","",$I82-$Q82)</f>
        <v/>
      </c>
      <c r="S82" s="12">
        <f>IF($E82="","",IF($R82&lt;=0,"KAPANDI",IF(COUNTIFS($A$2:$A$300,$A82,$F$2:$F$300,"&lt;"&amp;$F82,$R$2:$R$300,"&gt;0")=0,"ÖDEMEDE","SIRADA")))</f>
        <v/>
      </c>
      <c r="T82" s="7" t="n"/>
      <c r="U82" s="7" t="n"/>
      <c r="V82">
        <f>IF($E82="","",$A82&amp;"|"&amp;$S82)</f>
        <v/>
      </c>
    </row>
    <row r="83">
      <c r="A83" s="7" t="n"/>
      <c r="B83" s="8">
        <f>IF($A83="","",IFERROR(VLOOKUP($A83,PERSONEL!$A$2:$C$300,2,0),""))</f>
        <v/>
      </c>
      <c r="C83" s="9">
        <f>IF($A83="","",IFERROR(VLOOKUP($A83,PERSONEL!$A$2:$C$300,3,0),""))</f>
        <v/>
      </c>
      <c r="D83" s="10" t="n"/>
      <c r="E83" s="7" t="n"/>
      <c r="F83" s="7" t="n"/>
      <c r="G83" s="7" t="n"/>
      <c r="H83" s="7" t="n"/>
      <c r="I83" s="9" t="n"/>
      <c r="J83" s="7" t="n"/>
      <c r="K83" s="7" t="n"/>
      <c r="L83" s="7" t="n"/>
      <c r="M83" s="9" t="n"/>
      <c r="N83" s="9">
        <f>IF($E83="","",IF($S83&lt;&gt;"ÖDEMEDE",0,MIN($R83,IF($J83="Oran",IFERROR($C83*$K83/$L83,0),$M83))))</f>
        <v/>
      </c>
      <c r="O83" s="9" t="n"/>
      <c r="P83" s="9">
        <f>IF($E83="","",SUMIFS('AYLIK KESİNTİLER'!$E$2:$E$5000,'AYLIK KESİNTİLER'!$A$2:$A$5000,$A83,'AYLIK KESİNTİLER'!$B$2:$B$5000,$E83))</f>
        <v/>
      </c>
      <c r="Q83" s="9">
        <f>IF($E83="","",$O83+$P83)</f>
        <v/>
      </c>
      <c r="R83" s="9">
        <f>IF($E83="","",$I83-$Q83)</f>
        <v/>
      </c>
      <c r="S83" s="12">
        <f>IF($E83="","",IF($R83&lt;=0,"KAPANDI",IF(COUNTIFS($A$2:$A$300,$A83,$F$2:$F$300,"&lt;"&amp;$F83,$R$2:$R$300,"&gt;0")=0,"ÖDEMEDE","SIRADA")))</f>
        <v/>
      </c>
      <c r="T83" s="7" t="n"/>
      <c r="U83" s="7" t="n"/>
      <c r="V83">
        <f>IF($E83="","",$A83&amp;"|"&amp;$S83)</f>
        <v/>
      </c>
    </row>
    <row r="84">
      <c r="A84" s="7" t="n"/>
      <c r="B84" s="8">
        <f>IF($A84="","",IFERROR(VLOOKUP($A84,PERSONEL!$A$2:$C$300,2,0),""))</f>
        <v/>
      </c>
      <c r="C84" s="9">
        <f>IF($A84="","",IFERROR(VLOOKUP($A84,PERSONEL!$A$2:$C$300,3,0),""))</f>
        <v/>
      </c>
      <c r="D84" s="10" t="n"/>
      <c r="E84" s="7" t="n"/>
      <c r="F84" s="7" t="n"/>
      <c r="G84" s="7" t="n"/>
      <c r="H84" s="7" t="n"/>
      <c r="I84" s="9" t="n"/>
      <c r="J84" s="7" t="n"/>
      <c r="K84" s="7" t="n"/>
      <c r="L84" s="7" t="n"/>
      <c r="M84" s="9" t="n"/>
      <c r="N84" s="9">
        <f>IF($E84="","",IF($S84&lt;&gt;"ÖDEMEDE",0,MIN($R84,IF($J84="Oran",IFERROR($C84*$K84/$L84,0),$M84))))</f>
        <v/>
      </c>
      <c r="O84" s="9" t="n"/>
      <c r="P84" s="9">
        <f>IF($E84="","",SUMIFS('AYLIK KESİNTİLER'!$E$2:$E$5000,'AYLIK KESİNTİLER'!$A$2:$A$5000,$A84,'AYLIK KESİNTİLER'!$B$2:$B$5000,$E84))</f>
        <v/>
      </c>
      <c r="Q84" s="9">
        <f>IF($E84="","",$O84+$P84)</f>
        <v/>
      </c>
      <c r="R84" s="9">
        <f>IF($E84="","",$I84-$Q84)</f>
        <v/>
      </c>
      <c r="S84" s="12">
        <f>IF($E84="","",IF($R84&lt;=0,"KAPANDI",IF(COUNTIFS($A$2:$A$300,$A84,$F$2:$F$300,"&lt;"&amp;$F84,$R$2:$R$300,"&gt;0")=0,"ÖDEMEDE","SIRADA")))</f>
        <v/>
      </c>
      <c r="T84" s="7" t="n"/>
      <c r="U84" s="7" t="n"/>
      <c r="V84">
        <f>IF($E84="","",$A84&amp;"|"&amp;$S84)</f>
        <v/>
      </c>
    </row>
    <row r="85">
      <c r="A85" s="7" t="n"/>
      <c r="B85" s="8">
        <f>IF($A85="","",IFERROR(VLOOKUP($A85,PERSONEL!$A$2:$C$300,2,0),""))</f>
        <v/>
      </c>
      <c r="C85" s="9">
        <f>IF($A85="","",IFERROR(VLOOKUP($A85,PERSONEL!$A$2:$C$300,3,0),""))</f>
        <v/>
      </c>
      <c r="D85" s="10" t="n"/>
      <c r="E85" s="7" t="n"/>
      <c r="F85" s="7" t="n"/>
      <c r="G85" s="7" t="n"/>
      <c r="H85" s="7" t="n"/>
      <c r="I85" s="9" t="n"/>
      <c r="J85" s="7" t="n"/>
      <c r="K85" s="7" t="n"/>
      <c r="L85" s="7" t="n"/>
      <c r="M85" s="9" t="n"/>
      <c r="N85" s="9">
        <f>IF($E85="","",IF($S85&lt;&gt;"ÖDEMEDE",0,MIN($R85,IF($J85="Oran",IFERROR($C85*$K85/$L85,0),$M85))))</f>
        <v/>
      </c>
      <c r="O85" s="9" t="n"/>
      <c r="P85" s="9">
        <f>IF($E85="","",SUMIFS('AYLIK KESİNTİLER'!$E$2:$E$5000,'AYLIK KESİNTİLER'!$A$2:$A$5000,$A85,'AYLIK KESİNTİLER'!$B$2:$B$5000,$E85))</f>
        <v/>
      </c>
      <c r="Q85" s="9">
        <f>IF($E85="","",$O85+$P85)</f>
        <v/>
      </c>
      <c r="R85" s="9">
        <f>IF($E85="","",$I85-$Q85)</f>
        <v/>
      </c>
      <c r="S85" s="12">
        <f>IF($E85="","",IF($R85&lt;=0,"KAPANDI",IF(COUNTIFS($A$2:$A$300,$A85,$F$2:$F$300,"&lt;"&amp;$F85,$R$2:$R$300,"&gt;0")=0,"ÖDEMEDE","SIRADA")))</f>
        <v/>
      </c>
      <c r="T85" s="7" t="n"/>
      <c r="U85" s="7" t="n"/>
      <c r="V85">
        <f>IF($E85="","",$A85&amp;"|"&amp;$S85)</f>
        <v/>
      </c>
    </row>
    <row r="86">
      <c r="A86" s="7" t="n"/>
      <c r="B86" s="8">
        <f>IF($A86="","",IFERROR(VLOOKUP($A86,PERSONEL!$A$2:$C$300,2,0),""))</f>
        <v/>
      </c>
      <c r="C86" s="9">
        <f>IF($A86="","",IFERROR(VLOOKUP($A86,PERSONEL!$A$2:$C$300,3,0),""))</f>
        <v/>
      </c>
      <c r="D86" s="10" t="n"/>
      <c r="E86" s="7" t="n"/>
      <c r="F86" s="7" t="n"/>
      <c r="G86" s="7" t="n"/>
      <c r="H86" s="7" t="n"/>
      <c r="I86" s="9" t="n"/>
      <c r="J86" s="7" t="n"/>
      <c r="K86" s="7" t="n"/>
      <c r="L86" s="7" t="n"/>
      <c r="M86" s="9" t="n"/>
      <c r="N86" s="9">
        <f>IF($E86="","",IF($S86&lt;&gt;"ÖDEMEDE",0,MIN($R86,IF($J86="Oran",IFERROR($C86*$K86/$L86,0),$M86))))</f>
        <v/>
      </c>
      <c r="O86" s="9" t="n"/>
      <c r="P86" s="9">
        <f>IF($E86="","",SUMIFS('AYLIK KESİNTİLER'!$E$2:$E$5000,'AYLIK KESİNTİLER'!$A$2:$A$5000,$A86,'AYLIK KESİNTİLER'!$B$2:$B$5000,$E86))</f>
        <v/>
      </c>
      <c r="Q86" s="9">
        <f>IF($E86="","",$O86+$P86)</f>
        <v/>
      </c>
      <c r="R86" s="9">
        <f>IF($E86="","",$I86-$Q86)</f>
        <v/>
      </c>
      <c r="S86" s="12">
        <f>IF($E86="","",IF($R86&lt;=0,"KAPANDI",IF(COUNTIFS($A$2:$A$300,$A86,$F$2:$F$300,"&lt;"&amp;$F86,$R$2:$R$300,"&gt;0")=0,"ÖDEMEDE","SIRADA")))</f>
        <v/>
      </c>
      <c r="T86" s="7" t="n"/>
      <c r="U86" s="7" t="n"/>
      <c r="V86">
        <f>IF($E86="","",$A86&amp;"|"&amp;$S86)</f>
        <v/>
      </c>
    </row>
    <row r="87">
      <c r="A87" s="7" t="n"/>
      <c r="B87" s="8">
        <f>IF($A87="","",IFERROR(VLOOKUP($A87,PERSONEL!$A$2:$C$300,2,0),""))</f>
        <v/>
      </c>
      <c r="C87" s="9">
        <f>IF($A87="","",IFERROR(VLOOKUP($A87,PERSONEL!$A$2:$C$300,3,0),""))</f>
        <v/>
      </c>
      <c r="D87" s="10" t="n"/>
      <c r="E87" s="7" t="n"/>
      <c r="F87" s="7" t="n"/>
      <c r="G87" s="7" t="n"/>
      <c r="H87" s="7" t="n"/>
      <c r="I87" s="9" t="n"/>
      <c r="J87" s="7" t="n"/>
      <c r="K87" s="7" t="n"/>
      <c r="L87" s="7" t="n"/>
      <c r="M87" s="9" t="n"/>
      <c r="N87" s="9">
        <f>IF($E87="","",IF($S87&lt;&gt;"ÖDEMEDE",0,MIN($R87,IF($J87="Oran",IFERROR($C87*$K87/$L87,0),$M87))))</f>
        <v/>
      </c>
      <c r="O87" s="9" t="n"/>
      <c r="P87" s="9">
        <f>IF($E87="","",SUMIFS('AYLIK KESİNTİLER'!$E$2:$E$5000,'AYLIK KESİNTİLER'!$A$2:$A$5000,$A87,'AYLIK KESİNTİLER'!$B$2:$B$5000,$E87))</f>
        <v/>
      </c>
      <c r="Q87" s="9">
        <f>IF($E87="","",$O87+$P87)</f>
        <v/>
      </c>
      <c r="R87" s="9">
        <f>IF($E87="","",$I87-$Q87)</f>
        <v/>
      </c>
      <c r="S87" s="12">
        <f>IF($E87="","",IF($R87&lt;=0,"KAPANDI",IF(COUNTIFS($A$2:$A$300,$A87,$F$2:$F$300,"&lt;"&amp;$F87,$R$2:$R$300,"&gt;0")=0,"ÖDEMEDE","SIRADA")))</f>
        <v/>
      </c>
      <c r="T87" s="7" t="n"/>
      <c r="U87" s="7" t="n"/>
      <c r="V87">
        <f>IF($E87="","",$A87&amp;"|"&amp;$S87)</f>
        <v/>
      </c>
    </row>
    <row r="88">
      <c r="A88" s="7" t="n"/>
      <c r="B88" s="8">
        <f>IF($A88="","",IFERROR(VLOOKUP($A88,PERSONEL!$A$2:$C$300,2,0),""))</f>
        <v/>
      </c>
      <c r="C88" s="9">
        <f>IF($A88="","",IFERROR(VLOOKUP($A88,PERSONEL!$A$2:$C$300,3,0),""))</f>
        <v/>
      </c>
      <c r="D88" s="10" t="n"/>
      <c r="E88" s="7" t="n"/>
      <c r="F88" s="7" t="n"/>
      <c r="G88" s="7" t="n"/>
      <c r="H88" s="7" t="n"/>
      <c r="I88" s="9" t="n"/>
      <c r="J88" s="7" t="n"/>
      <c r="K88" s="7" t="n"/>
      <c r="L88" s="7" t="n"/>
      <c r="M88" s="9" t="n"/>
      <c r="N88" s="9">
        <f>IF($E88="","",IF($S88&lt;&gt;"ÖDEMEDE",0,MIN($R88,IF($J88="Oran",IFERROR($C88*$K88/$L88,0),$M88))))</f>
        <v/>
      </c>
      <c r="O88" s="9" t="n"/>
      <c r="P88" s="9">
        <f>IF($E88="","",SUMIFS('AYLIK KESİNTİLER'!$E$2:$E$5000,'AYLIK KESİNTİLER'!$A$2:$A$5000,$A88,'AYLIK KESİNTİLER'!$B$2:$B$5000,$E88))</f>
        <v/>
      </c>
      <c r="Q88" s="9">
        <f>IF($E88="","",$O88+$P88)</f>
        <v/>
      </c>
      <c r="R88" s="9">
        <f>IF($E88="","",$I88-$Q88)</f>
        <v/>
      </c>
      <c r="S88" s="12">
        <f>IF($E88="","",IF($R88&lt;=0,"KAPANDI",IF(COUNTIFS($A$2:$A$300,$A88,$F$2:$F$300,"&lt;"&amp;$F88,$R$2:$R$300,"&gt;0")=0,"ÖDEMEDE","SIRADA")))</f>
        <v/>
      </c>
      <c r="T88" s="7" t="n"/>
      <c r="U88" s="7" t="n"/>
      <c r="V88">
        <f>IF($E88="","",$A88&amp;"|"&amp;$S88)</f>
        <v/>
      </c>
    </row>
    <row r="89">
      <c r="A89" s="7" t="n"/>
      <c r="B89" s="8">
        <f>IF($A89="","",IFERROR(VLOOKUP($A89,PERSONEL!$A$2:$C$300,2,0),""))</f>
        <v/>
      </c>
      <c r="C89" s="9">
        <f>IF($A89="","",IFERROR(VLOOKUP($A89,PERSONEL!$A$2:$C$300,3,0),""))</f>
        <v/>
      </c>
      <c r="D89" s="10" t="n"/>
      <c r="E89" s="7" t="n"/>
      <c r="F89" s="7" t="n"/>
      <c r="G89" s="7" t="n"/>
      <c r="H89" s="7" t="n"/>
      <c r="I89" s="9" t="n"/>
      <c r="J89" s="7" t="n"/>
      <c r="K89" s="7" t="n"/>
      <c r="L89" s="7" t="n"/>
      <c r="M89" s="9" t="n"/>
      <c r="N89" s="9">
        <f>IF($E89="","",IF($S89&lt;&gt;"ÖDEMEDE",0,MIN($R89,IF($J89="Oran",IFERROR($C89*$K89/$L89,0),$M89))))</f>
        <v/>
      </c>
      <c r="O89" s="9" t="n"/>
      <c r="P89" s="9">
        <f>IF($E89="","",SUMIFS('AYLIK KESİNTİLER'!$E$2:$E$5000,'AYLIK KESİNTİLER'!$A$2:$A$5000,$A89,'AYLIK KESİNTİLER'!$B$2:$B$5000,$E89))</f>
        <v/>
      </c>
      <c r="Q89" s="9">
        <f>IF($E89="","",$O89+$P89)</f>
        <v/>
      </c>
      <c r="R89" s="9">
        <f>IF($E89="","",$I89-$Q89)</f>
        <v/>
      </c>
      <c r="S89" s="12">
        <f>IF($E89="","",IF($R89&lt;=0,"KAPANDI",IF(COUNTIFS($A$2:$A$300,$A89,$F$2:$F$300,"&lt;"&amp;$F89,$R$2:$R$300,"&gt;0")=0,"ÖDEMEDE","SIRADA")))</f>
        <v/>
      </c>
      <c r="T89" s="7" t="n"/>
      <c r="U89" s="7" t="n"/>
      <c r="V89">
        <f>IF($E89="","",$A89&amp;"|"&amp;$S89)</f>
        <v/>
      </c>
    </row>
    <row r="90">
      <c r="A90" s="7" t="n"/>
      <c r="B90" s="8">
        <f>IF($A90="","",IFERROR(VLOOKUP($A90,PERSONEL!$A$2:$C$300,2,0),""))</f>
        <v/>
      </c>
      <c r="C90" s="9">
        <f>IF($A90="","",IFERROR(VLOOKUP($A90,PERSONEL!$A$2:$C$300,3,0),""))</f>
        <v/>
      </c>
      <c r="D90" s="10" t="n"/>
      <c r="E90" s="7" t="n"/>
      <c r="F90" s="7" t="n"/>
      <c r="G90" s="7" t="n"/>
      <c r="H90" s="7" t="n"/>
      <c r="I90" s="9" t="n"/>
      <c r="J90" s="7" t="n"/>
      <c r="K90" s="7" t="n"/>
      <c r="L90" s="7" t="n"/>
      <c r="M90" s="9" t="n"/>
      <c r="N90" s="9">
        <f>IF($E90="","",IF($S90&lt;&gt;"ÖDEMEDE",0,MIN($R90,IF($J90="Oran",IFERROR($C90*$K90/$L90,0),$M90))))</f>
        <v/>
      </c>
      <c r="O90" s="9" t="n"/>
      <c r="P90" s="9">
        <f>IF($E90="","",SUMIFS('AYLIK KESİNTİLER'!$E$2:$E$5000,'AYLIK KESİNTİLER'!$A$2:$A$5000,$A90,'AYLIK KESİNTİLER'!$B$2:$B$5000,$E90))</f>
        <v/>
      </c>
      <c r="Q90" s="9">
        <f>IF($E90="","",$O90+$P90)</f>
        <v/>
      </c>
      <c r="R90" s="9">
        <f>IF($E90="","",$I90-$Q90)</f>
        <v/>
      </c>
      <c r="S90" s="12">
        <f>IF($E90="","",IF($R90&lt;=0,"KAPANDI",IF(COUNTIFS($A$2:$A$300,$A90,$F$2:$F$300,"&lt;"&amp;$F90,$R$2:$R$300,"&gt;0")=0,"ÖDEMEDE","SIRADA")))</f>
        <v/>
      </c>
      <c r="T90" s="7" t="n"/>
      <c r="U90" s="7" t="n"/>
      <c r="V90">
        <f>IF($E90="","",$A90&amp;"|"&amp;$S90)</f>
        <v/>
      </c>
    </row>
    <row r="91">
      <c r="A91" s="7" t="n"/>
      <c r="B91" s="8">
        <f>IF($A91="","",IFERROR(VLOOKUP($A91,PERSONEL!$A$2:$C$300,2,0),""))</f>
        <v/>
      </c>
      <c r="C91" s="9">
        <f>IF($A91="","",IFERROR(VLOOKUP($A91,PERSONEL!$A$2:$C$300,3,0),""))</f>
        <v/>
      </c>
      <c r="D91" s="10" t="n"/>
      <c r="E91" s="7" t="n"/>
      <c r="F91" s="7" t="n"/>
      <c r="G91" s="7" t="n"/>
      <c r="H91" s="7" t="n"/>
      <c r="I91" s="9" t="n"/>
      <c r="J91" s="7" t="n"/>
      <c r="K91" s="7" t="n"/>
      <c r="L91" s="7" t="n"/>
      <c r="M91" s="9" t="n"/>
      <c r="N91" s="9">
        <f>IF($E91="","",IF($S91&lt;&gt;"ÖDEMEDE",0,MIN($R91,IF($J91="Oran",IFERROR($C91*$K91/$L91,0),$M91))))</f>
        <v/>
      </c>
      <c r="O91" s="9" t="n"/>
      <c r="P91" s="9">
        <f>IF($E91="","",SUMIFS('AYLIK KESİNTİLER'!$E$2:$E$5000,'AYLIK KESİNTİLER'!$A$2:$A$5000,$A91,'AYLIK KESİNTİLER'!$B$2:$B$5000,$E91))</f>
        <v/>
      </c>
      <c r="Q91" s="9">
        <f>IF($E91="","",$O91+$P91)</f>
        <v/>
      </c>
      <c r="R91" s="9">
        <f>IF($E91="","",$I91-$Q91)</f>
        <v/>
      </c>
      <c r="S91" s="12">
        <f>IF($E91="","",IF($R91&lt;=0,"KAPANDI",IF(COUNTIFS($A$2:$A$300,$A91,$F$2:$F$300,"&lt;"&amp;$F91,$R$2:$R$300,"&gt;0")=0,"ÖDEMEDE","SIRADA")))</f>
        <v/>
      </c>
      <c r="T91" s="7" t="n"/>
      <c r="U91" s="7" t="n"/>
      <c r="V91">
        <f>IF($E91="","",$A91&amp;"|"&amp;$S91)</f>
        <v/>
      </c>
    </row>
    <row r="92">
      <c r="A92" s="7" t="n"/>
      <c r="B92" s="8">
        <f>IF($A92="","",IFERROR(VLOOKUP($A92,PERSONEL!$A$2:$C$300,2,0),""))</f>
        <v/>
      </c>
      <c r="C92" s="9">
        <f>IF($A92="","",IFERROR(VLOOKUP($A92,PERSONEL!$A$2:$C$300,3,0),""))</f>
        <v/>
      </c>
      <c r="D92" s="10" t="n"/>
      <c r="E92" s="7" t="n"/>
      <c r="F92" s="7" t="n"/>
      <c r="G92" s="7" t="n"/>
      <c r="H92" s="7" t="n"/>
      <c r="I92" s="9" t="n"/>
      <c r="J92" s="7" t="n"/>
      <c r="K92" s="7" t="n"/>
      <c r="L92" s="7" t="n"/>
      <c r="M92" s="9" t="n"/>
      <c r="N92" s="9">
        <f>IF($E92="","",IF($S92&lt;&gt;"ÖDEMEDE",0,MIN($R92,IF($J92="Oran",IFERROR($C92*$K92/$L92,0),$M92))))</f>
        <v/>
      </c>
      <c r="O92" s="9" t="n"/>
      <c r="P92" s="9">
        <f>IF($E92="","",SUMIFS('AYLIK KESİNTİLER'!$E$2:$E$5000,'AYLIK KESİNTİLER'!$A$2:$A$5000,$A92,'AYLIK KESİNTİLER'!$B$2:$B$5000,$E92))</f>
        <v/>
      </c>
      <c r="Q92" s="9">
        <f>IF($E92="","",$O92+$P92)</f>
        <v/>
      </c>
      <c r="R92" s="9">
        <f>IF($E92="","",$I92-$Q92)</f>
        <v/>
      </c>
      <c r="S92" s="12">
        <f>IF($E92="","",IF($R92&lt;=0,"KAPANDI",IF(COUNTIFS($A$2:$A$300,$A92,$F$2:$F$300,"&lt;"&amp;$F92,$R$2:$R$300,"&gt;0")=0,"ÖDEMEDE","SIRADA")))</f>
        <v/>
      </c>
      <c r="T92" s="7" t="n"/>
      <c r="U92" s="7" t="n"/>
      <c r="V92">
        <f>IF($E92="","",$A92&amp;"|"&amp;$S92)</f>
        <v/>
      </c>
    </row>
    <row r="93">
      <c r="A93" s="7" t="n"/>
      <c r="B93" s="8">
        <f>IF($A93="","",IFERROR(VLOOKUP($A93,PERSONEL!$A$2:$C$300,2,0),""))</f>
        <v/>
      </c>
      <c r="C93" s="9">
        <f>IF($A93="","",IFERROR(VLOOKUP($A93,PERSONEL!$A$2:$C$300,3,0),""))</f>
        <v/>
      </c>
      <c r="D93" s="10" t="n"/>
      <c r="E93" s="7" t="n"/>
      <c r="F93" s="7" t="n"/>
      <c r="G93" s="7" t="n"/>
      <c r="H93" s="7" t="n"/>
      <c r="I93" s="9" t="n"/>
      <c r="J93" s="7" t="n"/>
      <c r="K93" s="7" t="n"/>
      <c r="L93" s="7" t="n"/>
      <c r="M93" s="9" t="n"/>
      <c r="N93" s="9">
        <f>IF($E93="","",IF($S93&lt;&gt;"ÖDEMEDE",0,MIN($R93,IF($J93="Oran",IFERROR($C93*$K93/$L93,0),$M93))))</f>
        <v/>
      </c>
      <c r="O93" s="9" t="n"/>
      <c r="P93" s="9">
        <f>IF($E93="","",SUMIFS('AYLIK KESİNTİLER'!$E$2:$E$5000,'AYLIK KESİNTİLER'!$A$2:$A$5000,$A93,'AYLIK KESİNTİLER'!$B$2:$B$5000,$E93))</f>
        <v/>
      </c>
      <c r="Q93" s="9">
        <f>IF($E93="","",$O93+$P93)</f>
        <v/>
      </c>
      <c r="R93" s="9">
        <f>IF($E93="","",$I93-$Q93)</f>
        <v/>
      </c>
      <c r="S93" s="12">
        <f>IF($E93="","",IF($R93&lt;=0,"KAPANDI",IF(COUNTIFS($A$2:$A$300,$A93,$F$2:$F$300,"&lt;"&amp;$F93,$R$2:$R$300,"&gt;0")=0,"ÖDEMEDE","SIRADA")))</f>
        <v/>
      </c>
      <c r="T93" s="7" t="n"/>
      <c r="U93" s="7" t="n"/>
      <c r="V93">
        <f>IF($E93="","",$A93&amp;"|"&amp;$S93)</f>
        <v/>
      </c>
    </row>
    <row r="94">
      <c r="A94" s="7" t="n"/>
      <c r="B94" s="8">
        <f>IF($A94="","",IFERROR(VLOOKUP($A94,PERSONEL!$A$2:$C$300,2,0),""))</f>
        <v/>
      </c>
      <c r="C94" s="9">
        <f>IF($A94="","",IFERROR(VLOOKUP($A94,PERSONEL!$A$2:$C$300,3,0),""))</f>
        <v/>
      </c>
      <c r="D94" s="10" t="n"/>
      <c r="E94" s="7" t="n"/>
      <c r="F94" s="7" t="n"/>
      <c r="G94" s="7" t="n"/>
      <c r="H94" s="7" t="n"/>
      <c r="I94" s="9" t="n"/>
      <c r="J94" s="7" t="n"/>
      <c r="K94" s="7" t="n"/>
      <c r="L94" s="7" t="n"/>
      <c r="M94" s="9" t="n"/>
      <c r="N94" s="9">
        <f>IF($E94="","",IF($S94&lt;&gt;"ÖDEMEDE",0,MIN($R94,IF($J94="Oran",IFERROR($C94*$K94/$L94,0),$M94))))</f>
        <v/>
      </c>
      <c r="O94" s="9" t="n"/>
      <c r="P94" s="9">
        <f>IF($E94="","",SUMIFS('AYLIK KESİNTİLER'!$E$2:$E$5000,'AYLIK KESİNTİLER'!$A$2:$A$5000,$A94,'AYLIK KESİNTİLER'!$B$2:$B$5000,$E94))</f>
        <v/>
      </c>
      <c r="Q94" s="9">
        <f>IF($E94="","",$O94+$P94)</f>
        <v/>
      </c>
      <c r="R94" s="9">
        <f>IF($E94="","",$I94-$Q94)</f>
        <v/>
      </c>
      <c r="S94" s="12">
        <f>IF($E94="","",IF($R94&lt;=0,"KAPANDI",IF(COUNTIFS($A$2:$A$300,$A94,$F$2:$F$300,"&lt;"&amp;$F94,$R$2:$R$300,"&gt;0")=0,"ÖDEMEDE","SIRADA")))</f>
        <v/>
      </c>
      <c r="T94" s="7" t="n"/>
      <c r="U94" s="7" t="n"/>
      <c r="V94">
        <f>IF($E94="","",$A94&amp;"|"&amp;$S94)</f>
        <v/>
      </c>
    </row>
    <row r="95">
      <c r="A95" s="7" t="n"/>
      <c r="B95" s="8">
        <f>IF($A95="","",IFERROR(VLOOKUP($A95,PERSONEL!$A$2:$C$300,2,0),""))</f>
        <v/>
      </c>
      <c r="C95" s="9">
        <f>IF($A95="","",IFERROR(VLOOKUP($A95,PERSONEL!$A$2:$C$300,3,0),""))</f>
        <v/>
      </c>
      <c r="D95" s="10" t="n"/>
      <c r="E95" s="7" t="n"/>
      <c r="F95" s="7" t="n"/>
      <c r="G95" s="7" t="n"/>
      <c r="H95" s="7" t="n"/>
      <c r="I95" s="9" t="n"/>
      <c r="J95" s="7" t="n"/>
      <c r="K95" s="7" t="n"/>
      <c r="L95" s="7" t="n"/>
      <c r="M95" s="9" t="n"/>
      <c r="N95" s="9">
        <f>IF($E95="","",IF($S95&lt;&gt;"ÖDEMEDE",0,MIN($R95,IF($J95="Oran",IFERROR($C95*$K95/$L95,0),$M95))))</f>
        <v/>
      </c>
      <c r="O95" s="9" t="n"/>
      <c r="P95" s="9">
        <f>IF($E95="","",SUMIFS('AYLIK KESİNTİLER'!$E$2:$E$5000,'AYLIK KESİNTİLER'!$A$2:$A$5000,$A95,'AYLIK KESİNTİLER'!$B$2:$B$5000,$E95))</f>
        <v/>
      </c>
      <c r="Q95" s="9">
        <f>IF($E95="","",$O95+$P95)</f>
        <v/>
      </c>
      <c r="R95" s="9">
        <f>IF($E95="","",$I95-$Q95)</f>
        <v/>
      </c>
      <c r="S95" s="12">
        <f>IF($E95="","",IF($R95&lt;=0,"KAPANDI",IF(COUNTIFS($A$2:$A$300,$A95,$F$2:$F$300,"&lt;"&amp;$F95,$R$2:$R$300,"&gt;0")=0,"ÖDEMEDE","SIRADA")))</f>
        <v/>
      </c>
      <c r="T95" s="7" t="n"/>
      <c r="U95" s="7" t="n"/>
      <c r="V95">
        <f>IF($E95="","",$A95&amp;"|"&amp;$S95)</f>
        <v/>
      </c>
    </row>
    <row r="96">
      <c r="A96" s="7" t="n"/>
      <c r="B96" s="8">
        <f>IF($A96="","",IFERROR(VLOOKUP($A96,PERSONEL!$A$2:$C$300,2,0),""))</f>
        <v/>
      </c>
      <c r="C96" s="9">
        <f>IF($A96="","",IFERROR(VLOOKUP($A96,PERSONEL!$A$2:$C$300,3,0),""))</f>
        <v/>
      </c>
      <c r="D96" s="10" t="n"/>
      <c r="E96" s="7" t="n"/>
      <c r="F96" s="7" t="n"/>
      <c r="G96" s="7" t="n"/>
      <c r="H96" s="7" t="n"/>
      <c r="I96" s="9" t="n"/>
      <c r="J96" s="7" t="n"/>
      <c r="K96" s="7" t="n"/>
      <c r="L96" s="7" t="n"/>
      <c r="M96" s="9" t="n"/>
      <c r="N96" s="9">
        <f>IF($E96="","",IF($S96&lt;&gt;"ÖDEMEDE",0,MIN($R96,IF($J96="Oran",IFERROR($C96*$K96/$L96,0),$M96))))</f>
        <v/>
      </c>
      <c r="O96" s="9" t="n"/>
      <c r="P96" s="9">
        <f>IF($E96="","",SUMIFS('AYLIK KESİNTİLER'!$E$2:$E$5000,'AYLIK KESİNTİLER'!$A$2:$A$5000,$A96,'AYLIK KESİNTİLER'!$B$2:$B$5000,$E96))</f>
        <v/>
      </c>
      <c r="Q96" s="9">
        <f>IF($E96="","",$O96+$P96)</f>
        <v/>
      </c>
      <c r="R96" s="9">
        <f>IF($E96="","",$I96-$Q96)</f>
        <v/>
      </c>
      <c r="S96" s="12">
        <f>IF($E96="","",IF($R96&lt;=0,"KAPANDI",IF(COUNTIFS($A$2:$A$300,$A96,$F$2:$F$300,"&lt;"&amp;$F96,$R$2:$R$300,"&gt;0")=0,"ÖDEMEDE","SIRADA")))</f>
        <v/>
      </c>
      <c r="T96" s="7" t="n"/>
      <c r="U96" s="7" t="n"/>
      <c r="V96">
        <f>IF($E96="","",$A96&amp;"|"&amp;$S96)</f>
        <v/>
      </c>
    </row>
    <row r="97">
      <c r="A97" s="7" t="n"/>
      <c r="B97" s="8">
        <f>IF($A97="","",IFERROR(VLOOKUP($A97,PERSONEL!$A$2:$C$300,2,0),""))</f>
        <v/>
      </c>
      <c r="C97" s="9">
        <f>IF($A97="","",IFERROR(VLOOKUP($A97,PERSONEL!$A$2:$C$300,3,0),""))</f>
        <v/>
      </c>
      <c r="D97" s="10" t="n"/>
      <c r="E97" s="7" t="n"/>
      <c r="F97" s="7" t="n"/>
      <c r="G97" s="7" t="n"/>
      <c r="H97" s="7" t="n"/>
      <c r="I97" s="9" t="n"/>
      <c r="J97" s="7" t="n"/>
      <c r="K97" s="7" t="n"/>
      <c r="L97" s="7" t="n"/>
      <c r="M97" s="9" t="n"/>
      <c r="N97" s="9">
        <f>IF($E97="","",IF($S97&lt;&gt;"ÖDEMEDE",0,MIN($R97,IF($J97="Oran",IFERROR($C97*$K97/$L97,0),$M97))))</f>
        <v/>
      </c>
      <c r="O97" s="9" t="n"/>
      <c r="P97" s="9">
        <f>IF($E97="","",SUMIFS('AYLIK KESİNTİLER'!$E$2:$E$5000,'AYLIK KESİNTİLER'!$A$2:$A$5000,$A97,'AYLIK KESİNTİLER'!$B$2:$B$5000,$E97))</f>
        <v/>
      </c>
      <c r="Q97" s="9">
        <f>IF($E97="","",$O97+$P97)</f>
        <v/>
      </c>
      <c r="R97" s="9">
        <f>IF($E97="","",$I97-$Q97)</f>
        <v/>
      </c>
      <c r="S97" s="12">
        <f>IF($E97="","",IF($R97&lt;=0,"KAPANDI",IF(COUNTIFS($A$2:$A$300,$A97,$F$2:$F$300,"&lt;"&amp;$F97,$R$2:$R$300,"&gt;0")=0,"ÖDEMEDE","SIRADA")))</f>
        <v/>
      </c>
      <c r="T97" s="7" t="n"/>
      <c r="U97" s="7" t="n"/>
      <c r="V97">
        <f>IF($E97="","",$A97&amp;"|"&amp;$S97)</f>
        <v/>
      </c>
    </row>
    <row r="98">
      <c r="A98" s="7" t="n"/>
      <c r="B98" s="8">
        <f>IF($A98="","",IFERROR(VLOOKUP($A98,PERSONEL!$A$2:$C$300,2,0),""))</f>
        <v/>
      </c>
      <c r="C98" s="9">
        <f>IF($A98="","",IFERROR(VLOOKUP($A98,PERSONEL!$A$2:$C$300,3,0),""))</f>
        <v/>
      </c>
      <c r="D98" s="10" t="n"/>
      <c r="E98" s="7" t="n"/>
      <c r="F98" s="7" t="n"/>
      <c r="G98" s="7" t="n"/>
      <c r="H98" s="7" t="n"/>
      <c r="I98" s="9" t="n"/>
      <c r="J98" s="7" t="n"/>
      <c r="K98" s="7" t="n"/>
      <c r="L98" s="7" t="n"/>
      <c r="M98" s="9" t="n"/>
      <c r="N98" s="9">
        <f>IF($E98="","",IF($S98&lt;&gt;"ÖDEMEDE",0,MIN($R98,IF($J98="Oran",IFERROR($C98*$K98/$L98,0),$M98))))</f>
        <v/>
      </c>
      <c r="O98" s="9" t="n"/>
      <c r="P98" s="9">
        <f>IF($E98="","",SUMIFS('AYLIK KESİNTİLER'!$E$2:$E$5000,'AYLIK KESİNTİLER'!$A$2:$A$5000,$A98,'AYLIK KESİNTİLER'!$B$2:$B$5000,$E98))</f>
        <v/>
      </c>
      <c r="Q98" s="9">
        <f>IF($E98="","",$O98+$P98)</f>
        <v/>
      </c>
      <c r="R98" s="9">
        <f>IF($E98="","",$I98-$Q98)</f>
        <v/>
      </c>
      <c r="S98" s="12">
        <f>IF($E98="","",IF($R98&lt;=0,"KAPANDI",IF(COUNTIFS($A$2:$A$300,$A98,$F$2:$F$300,"&lt;"&amp;$F98,$R$2:$R$300,"&gt;0")=0,"ÖDEMEDE","SIRADA")))</f>
        <v/>
      </c>
      <c r="T98" s="7" t="n"/>
      <c r="U98" s="7" t="n"/>
      <c r="V98">
        <f>IF($E98="","",$A98&amp;"|"&amp;$S98)</f>
        <v/>
      </c>
    </row>
    <row r="99">
      <c r="A99" s="7" t="n"/>
      <c r="B99" s="8">
        <f>IF($A99="","",IFERROR(VLOOKUP($A99,PERSONEL!$A$2:$C$300,2,0),""))</f>
        <v/>
      </c>
      <c r="C99" s="9">
        <f>IF($A99="","",IFERROR(VLOOKUP($A99,PERSONEL!$A$2:$C$300,3,0),""))</f>
        <v/>
      </c>
      <c r="D99" s="10" t="n"/>
      <c r="E99" s="7" t="n"/>
      <c r="F99" s="7" t="n"/>
      <c r="G99" s="7" t="n"/>
      <c r="H99" s="7" t="n"/>
      <c r="I99" s="9" t="n"/>
      <c r="J99" s="7" t="n"/>
      <c r="K99" s="7" t="n"/>
      <c r="L99" s="7" t="n"/>
      <c r="M99" s="9" t="n"/>
      <c r="N99" s="9">
        <f>IF($E99="","",IF($S99&lt;&gt;"ÖDEMEDE",0,MIN($R99,IF($J99="Oran",IFERROR($C99*$K99/$L99,0),$M99))))</f>
        <v/>
      </c>
      <c r="O99" s="9" t="n"/>
      <c r="P99" s="9">
        <f>IF($E99="","",SUMIFS('AYLIK KESİNTİLER'!$E$2:$E$5000,'AYLIK KESİNTİLER'!$A$2:$A$5000,$A99,'AYLIK KESİNTİLER'!$B$2:$B$5000,$E99))</f>
        <v/>
      </c>
      <c r="Q99" s="9">
        <f>IF($E99="","",$O99+$P99)</f>
        <v/>
      </c>
      <c r="R99" s="9">
        <f>IF($E99="","",$I99-$Q99)</f>
        <v/>
      </c>
      <c r="S99" s="12">
        <f>IF($E99="","",IF($R99&lt;=0,"KAPANDI",IF(COUNTIFS($A$2:$A$300,$A99,$F$2:$F$300,"&lt;"&amp;$F99,$R$2:$R$300,"&gt;0")=0,"ÖDEMEDE","SIRADA")))</f>
        <v/>
      </c>
      <c r="T99" s="7" t="n"/>
      <c r="U99" s="7" t="n"/>
      <c r="V99">
        <f>IF($E99="","",$A99&amp;"|"&amp;$S99)</f>
        <v/>
      </c>
    </row>
    <row r="100">
      <c r="A100" s="7" t="n"/>
      <c r="B100" s="8">
        <f>IF($A100="","",IFERROR(VLOOKUP($A100,PERSONEL!$A$2:$C$300,2,0),""))</f>
        <v/>
      </c>
      <c r="C100" s="9">
        <f>IF($A100="","",IFERROR(VLOOKUP($A100,PERSONEL!$A$2:$C$300,3,0),""))</f>
        <v/>
      </c>
      <c r="D100" s="10" t="n"/>
      <c r="E100" s="7" t="n"/>
      <c r="F100" s="7" t="n"/>
      <c r="G100" s="7" t="n"/>
      <c r="H100" s="7" t="n"/>
      <c r="I100" s="9" t="n"/>
      <c r="J100" s="7" t="n"/>
      <c r="K100" s="7" t="n"/>
      <c r="L100" s="7" t="n"/>
      <c r="M100" s="9" t="n"/>
      <c r="N100" s="9">
        <f>IF($E100="","",IF($S100&lt;&gt;"ÖDEMEDE",0,MIN($R100,IF($J100="Oran",IFERROR($C100*$K100/$L100,0),$M100))))</f>
        <v/>
      </c>
      <c r="O100" s="9" t="n"/>
      <c r="P100" s="9">
        <f>IF($E100="","",SUMIFS('AYLIK KESİNTİLER'!$E$2:$E$5000,'AYLIK KESİNTİLER'!$A$2:$A$5000,$A100,'AYLIK KESİNTİLER'!$B$2:$B$5000,$E100))</f>
        <v/>
      </c>
      <c r="Q100" s="9">
        <f>IF($E100="","",$O100+$P100)</f>
        <v/>
      </c>
      <c r="R100" s="9">
        <f>IF($E100="","",$I100-$Q100)</f>
        <v/>
      </c>
      <c r="S100" s="12">
        <f>IF($E100="","",IF($R100&lt;=0,"KAPANDI",IF(COUNTIFS($A$2:$A$300,$A100,$F$2:$F$300,"&lt;"&amp;$F100,$R$2:$R$300,"&gt;0")=0,"ÖDEMEDE","SIRADA")))</f>
        <v/>
      </c>
      <c r="T100" s="7" t="n"/>
      <c r="U100" s="7" t="n"/>
      <c r="V100">
        <f>IF($E100="","",$A100&amp;"|"&amp;$S100)</f>
        <v/>
      </c>
    </row>
    <row r="101">
      <c r="A101" s="7" t="n"/>
      <c r="B101" s="8">
        <f>IF($A101="","",IFERROR(VLOOKUP($A101,PERSONEL!$A$2:$C$300,2,0),""))</f>
        <v/>
      </c>
      <c r="C101" s="9">
        <f>IF($A101="","",IFERROR(VLOOKUP($A101,PERSONEL!$A$2:$C$300,3,0),""))</f>
        <v/>
      </c>
      <c r="D101" s="10" t="n"/>
      <c r="E101" s="7" t="n"/>
      <c r="F101" s="7" t="n"/>
      <c r="G101" s="7" t="n"/>
      <c r="H101" s="7" t="n"/>
      <c r="I101" s="9" t="n"/>
      <c r="J101" s="7" t="n"/>
      <c r="K101" s="7" t="n"/>
      <c r="L101" s="7" t="n"/>
      <c r="M101" s="9" t="n"/>
      <c r="N101" s="9">
        <f>IF($E101="","",IF($S101&lt;&gt;"ÖDEMEDE",0,MIN($R101,IF($J101="Oran",IFERROR($C101*$K101/$L101,0),$M101))))</f>
        <v/>
      </c>
      <c r="O101" s="9" t="n"/>
      <c r="P101" s="9">
        <f>IF($E101="","",SUMIFS('AYLIK KESİNTİLER'!$E$2:$E$5000,'AYLIK KESİNTİLER'!$A$2:$A$5000,$A101,'AYLIK KESİNTİLER'!$B$2:$B$5000,$E101))</f>
        <v/>
      </c>
      <c r="Q101" s="9">
        <f>IF($E101="","",$O101+$P101)</f>
        <v/>
      </c>
      <c r="R101" s="9">
        <f>IF($E101="","",$I101-$Q101)</f>
        <v/>
      </c>
      <c r="S101" s="12">
        <f>IF($E101="","",IF($R101&lt;=0,"KAPANDI",IF(COUNTIFS($A$2:$A$300,$A101,$F$2:$F$300,"&lt;"&amp;$F101,$R$2:$R$300,"&gt;0")=0,"ÖDEMEDE","SIRADA")))</f>
        <v/>
      </c>
      <c r="T101" s="7" t="n"/>
      <c r="U101" s="7" t="n"/>
      <c r="V101">
        <f>IF($E101="","",$A101&amp;"|"&amp;$S101)</f>
        <v/>
      </c>
    </row>
    <row r="102">
      <c r="A102" s="7" t="n"/>
      <c r="B102" s="8">
        <f>IF($A102="","",IFERROR(VLOOKUP($A102,PERSONEL!$A$2:$C$300,2,0),""))</f>
        <v/>
      </c>
      <c r="C102" s="9">
        <f>IF($A102="","",IFERROR(VLOOKUP($A102,PERSONEL!$A$2:$C$300,3,0),""))</f>
        <v/>
      </c>
      <c r="D102" s="10" t="n"/>
      <c r="E102" s="7" t="n"/>
      <c r="F102" s="7" t="n"/>
      <c r="G102" s="7" t="n"/>
      <c r="H102" s="7" t="n"/>
      <c r="I102" s="9" t="n"/>
      <c r="J102" s="7" t="n"/>
      <c r="K102" s="7" t="n"/>
      <c r="L102" s="7" t="n"/>
      <c r="M102" s="9" t="n"/>
      <c r="N102" s="9">
        <f>IF($E102="","",IF($S102&lt;&gt;"ÖDEMEDE",0,MIN($R102,IF($J102="Oran",IFERROR($C102*$K102/$L102,0),$M102))))</f>
        <v/>
      </c>
      <c r="O102" s="9" t="n"/>
      <c r="P102" s="9">
        <f>IF($E102="","",SUMIFS('AYLIK KESİNTİLER'!$E$2:$E$5000,'AYLIK KESİNTİLER'!$A$2:$A$5000,$A102,'AYLIK KESİNTİLER'!$B$2:$B$5000,$E102))</f>
        <v/>
      </c>
      <c r="Q102" s="9">
        <f>IF($E102="","",$O102+$P102)</f>
        <v/>
      </c>
      <c r="R102" s="9">
        <f>IF($E102="","",$I102-$Q102)</f>
        <v/>
      </c>
      <c r="S102" s="12">
        <f>IF($E102="","",IF($R102&lt;=0,"KAPANDI",IF(COUNTIFS($A$2:$A$300,$A102,$F$2:$F$300,"&lt;"&amp;$F102,$R$2:$R$300,"&gt;0")=0,"ÖDEMEDE","SIRADA")))</f>
        <v/>
      </c>
      <c r="T102" s="7" t="n"/>
      <c r="U102" s="7" t="n"/>
      <c r="V102">
        <f>IF($E102="","",$A102&amp;"|"&amp;$S102)</f>
        <v/>
      </c>
    </row>
    <row r="103">
      <c r="A103" s="7" t="n"/>
      <c r="B103" s="8">
        <f>IF($A103="","",IFERROR(VLOOKUP($A103,PERSONEL!$A$2:$C$300,2,0),""))</f>
        <v/>
      </c>
      <c r="C103" s="9">
        <f>IF($A103="","",IFERROR(VLOOKUP($A103,PERSONEL!$A$2:$C$300,3,0),""))</f>
        <v/>
      </c>
      <c r="D103" s="10" t="n"/>
      <c r="E103" s="7" t="n"/>
      <c r="F103" s="7" t="n"/>
      <c r="G103" s="7" t="n"/>
      <c r="H103" s="7" t="n"/>
      <c r="I103" s="9" t="n"/>
      <c r="J103" s="7" t="n"/>
      <c r="K103" s="7" t="n"/>
      <c r="L103" s="7" t="n"/>
      <c r="M103" s="9" t="n"/>
      <c r="N103" s="9">
        <f>IF($E103="","",IF($S103&lt;&gt;"ÖDEMEDE",0,MIN($R103,IF($J103="Oran",IFERROR($C103*$K103/$L103,0),$M103))))</f>
        <v/>
      </c>
      <c r="O103" s="9" t="n"/>
      <c r="P103" s="9">
        <f>IF($E103="","",SUMIFS('AYLIK KESİNTİLER'!$E$2:$E$5000,'AYLIK KESİNTİLER'!$A$2:$A$5000,$A103,'AYLIK KESİNTİLER'!$B$2:$B$5000,$E103))</f>
        <v/>
      </c>
      <c r="Q103" s="9">
        <f>IF($E103="","",$O103+$P103)</f>
        <v/>
      </c>
      <c r="R103" s="9">
        <f>IF($E103="","",$I103-$Q103)</f>
        <v/>
      </c>
      <c r="S103" s="12">
        <f>IF($E103="","",IF($R103&lt;=0,"KAPANDI",IF(COUNTIFS($A$2:$A$300,$A103,$F$2:$F$300,"&lt;"&amp;$F103,$R$2:$R$300,"&gt;0")=0,"ÖDEMEDE","SIRADA")))</f>
        <v/>
      </c>
      <c r="T103" s="7" t="n"/>
      <c r="U103" s="7" t="n"/>
      <c r="V103">
        <f>IF($E103="","",$A103&amp;"|"&amp;$S103)</f>
        <v/>
      </c>
    </row>
    <row r="104">
      <c r="A104" s="7" t="n"/>
      <c r="B104" s="8">
        <f>IF($A104="","",IFERROR(VLOOKUP($A104,PERSONEL!$A$2:$C$300,2,0),""))</f>
        <v/>
      </c>
      <c r="C104" s="9">
        <f>IF($A104="","",IFERROR(VLOOKUP($A104,PERSONEL!$A$2:$C$300,3,0),""))</f>
        <v/>
      </c>
      <c r="D104" s="10" t="n"/>
      <c r="E104" s="7" t="n"/>
      <c r="F104" s="7" t="n"/>
      <c r="G104" s="7" t="n"/>
      <c r="H104" s="7" t="n"/>
      <c r="I104" s="9" t="n"/>
      <c r="J104" s="7" t="n"/>
      <c r="K104" s="7" t="n"/>
      <c r="L104" s="7" t="n"/>
      <c r="M104" s="9" t="n"/>
      <c r="N104" s="9">
        <f>IF($E104="","",IF($S104&lt;&gt;"ÖDEMEDE",0,MIN($R104,IF($J104="Oran",IFERROR($C104*$K104/$L104,0),$M104))))</f>
        <v/>
      </c>
      <c r="O104" s="9" t="n"/>
      <c r="P104" s="9">
        <f>IF($E104="","",SUMIFS('AYLIK KESİNTİLER'!$E$2:$E$5000,'AYLIK KESİNTİLER'!$A$2:$A$5000,$A104,'AYLIK KESİNTİLER'!$B$2:$B$5000,$E104))</f>
        <v/>
      </c>
      <c r="Q104" s="9">
        <f>IF($E104="","",$O104+$P104)</f>
        <v/>
      </c>
      <c r="R104" s="9">
        <f>IF($E104="","",$I104-$Q104)</f>
        <v/>
      </c>
      <c r="S104" s="12">
        <f>IF($E104="","",IF($R104&lt;=0,"KAPANDI",IF(COUNTIFS($A$2:$A$300,$A104,$F$2:$F$300,"&lt;"&amp;$F104,$R$2:$R$300,"&gt;0")=0,"ÖDEMEDE","SIRADA")))</f>
        <v/>
      </c>
      <c r="T104" s="7" t="n"/>
      <c r="U104" s="7" t="n"/>
      <c r="V104">
        <f>IF($E104="","",$A104&amp;"|"&amp;$S104)</f>
        <v/>
      </c>
    </row>
    <row r="105">
      <c r="A105" s="7" t="n"/>
      <c r="B105" s="8">
        <f>IF($A105="","",IFERROR(VLOOKUP($A105,PERSONEL!$A$2:$C$300,2,0),""))</f>
        <v/>
      </c>
      <c r="C105" s="9">
        <f>IF($A105="","",IFERROR(VLOOKUP($A105,PERSONEL!$A$2:$C$300,3,0),""))</f>
        <v/>
      </c>
      <c r="D105" s="10" t="n"/>
      <c r="E105" s="7" t="n"/>
      <c r="F105" s="7" t="n"/>
      <c r="G105" s="7" t="n"/>
      <c r="H105" s="7" t="n"/>
      <c r="I105" s="9" t="n"/>
      <c r="J105" s="7" t="n"/>
      <c r="K105" s="7" t="n"/>
      <c r="L105" s="7" t="n"/>
      <c r="M105" s="9" t="n"/>
      <c r="N105" s="9">
        <f>IF($E105="","",IF($S105&lt;&gt;"ÖDEMEDE",0,MIN($R105,IF($J105="Oran",IFERROR($C105*$K105/$L105,0),$M105))))</f>
        <v/>
      </c>
      <c r="O105" s="9" t="n"/>
      <c r="P105" s="9">
        <f>IF($E105="","",SUMIFS('AYLIK KESİNTİLER'!$E$2:$E$5000,'AYLIK KESİNTİLER'!$A$2:$A$5000,$A105,'AYLIK KESİNTİLER'!$B$2:$B$5000,$E105))</f>
        <v/>
      </c>
      <c r="Q105" s="9">
        <f>IF($E105="","",$O105+$P105)</f>
        <v/>
      </c>
      <c r="R105" s="9">
        <f>IF($E105="","",$I105-$Q105)</f>
        <v/>
      </c>
      <c r="S105" s="12">
        <f>IF($E105="","",IF($R105&lt;=0,"KAPANDI",IF(COUNTIFS($A$2:$A$300,$A105,$F$2:$F$300,"&lt;"&amp;$F105,$R$2:$R$300,"&gt;0")=0,"ÖDEMEDE","SIRADA")))</f>
        <v/>
      </c>
      <c r="T105" s="7" t="n"/>
      <c r="U105" s="7" t="n"/>
      <c r="V105">
        <f>IF($E105="","",$A105&amp;"|"&amp;$S105)</f>
        <v/>
      </c>
    </row>
    <row r="106">
      <c r="A106" s="7" t="n"/>
      <c r="B106" s="8">
        <f>IF($A106="","",IFERROR(VLOOKUP($A106,PERSONEL!$A$2:$C$300,2,0),""))</f>
        <v/>
      </c>
      <c r="C106" s="9">
        <f>IF($A106="","",IFERROR(VLOOKUP($A106,PERSONEL!$A$2:$C$300,3,0),""))</f>
        <v/>
      </c>
      <c r="D106" s="10" t="n"/>
      <c r="E106" s="7" t="n"/>
      <c r="F106" s="7" t="n"/>
      <c r="G106" s="7" t="n"/>
      <c r="H106" s="7" t="n"/>
      <c r="I106" s="9" t="n"/>
      <c r="J106" s="7" t="n"/>
      <c r="K106" s="7" t="n"/>
      <c r="L106" s="7" t="n"/>
      <c r="M106" s="9" t="n"/>
      <c r="N106" s="9">
        <f>IF($E106="","",IF($S106&lt;&gt;"ÖDEMEDE",0,MIN($R106,IF($J106="Oran",IFERROR($C106*$K106/$L106,0),$M106))))</f>
        <v/>
      </c>
      <c r="O106" s="9" t="n"/>
      <c r="P106" s="9">
        <f>IF($E106="","",SUMIFS('AYLIK KESİNTİLER'!$E$2:$E$5000,'AYLIK KESİNTİLER'!$A$2:$A$5000,$A106,'AYLIK KESİNTİLER'!$B$2:$B$5000,$E106))</f>
        <v/>
      </c>
      <c r="Q106" s="9">
        <f>IF($E106="","",$O106+$P106)</f>
        <v/>
      </c>
      <c r="R106" s="9">
        <f>IF($E106="","",$I106-$Q106)</f>
        <v/>
      </c>
      <c r="S106" s="12">
        <f>IF($E106="","",IF($R106&lt;=0,"KAPANDI",IF(COUNTIFS($A$2:$A$300,$A106,$F$2:$F$300,"&lt;"&amp;$F106,$R$2:$R$300,"&gt;0")=0,"ÖDEMEDE","SIRADA")))</f>
        <v/>
      </c>
      <c r="T106" s="7" t="n"/>
      <c r="U106" s="7" t="n"/>
      <c r="V106">
        <f>IF($E106="","",$A106&amp;"|"&amp;$S106)</f>
        <v/>
      </c>
    </row>
    <row r="107">
      <c r="A107" s="7" t="n"/>
      <c r="B107" s="8">
        <f>IF($A107="","",IFERROR(VLOOKUP($A107,PERSONEL!$A$2:$C$300,2,0),""))</f>
        <v/>
      </c>
      <c r="C107" s="9">
        <f>IF($A107="","",IFERROR(VLOOKUP($A107,PERSONEL!$A$2:$C$300,3,0),""))</f>
        <v/>
      </c>
      <c r="D107" s="10" t="n"/>
      <c r="E107" s="7" t="n"/>
      <c r="F107" s="7" t="n"/>
      <c r="G107" s="7" t="n"/>
      <c r="H107" s="7" t="n"/>
      <c r="I107" s="9" t="n"/>
      <c r="J107" s="7" t="n"/>
      <c r="K107" s="7" t="n"/>
      <c r="L107" s="7" t="n"/>
      <c r="M107" s="9" t="n"/>
      <c r="N107" s="9">
        <f>IF($E107="","",IF($S107&lt;&gt;"ÖDEMEDE",0,MIN($R107,IF($J107="Oran",IFERROR($C107*$K107/$L107,0),$M107))))</f>
        <v/>
      </c>
      <c r="O107" s="9" t="n"/>
      <c r="P107" s="9">
        <f>IF($E107="","",SUMIFS('AYLIK KESİNTİLER'!$E$2:$E$5000,'AYLIK KESİNTİLER'!$A$2:$A$5000,$A107,'AYLIK KESİNTİLER'!$B$2:$B$5000,$E107))</f>
        <v/>
      </c>
      <c r="Q107" s="9">
        <f>IF($E107="","",$O107+$P107)</f>
        <v/>
      </c>
      <c r="R107" s="9">
        <f>IF($E107="","",$I107-$Q107)</f>
        <v/>
      </c>
      <c r="S107" s="12">
        <f>IF($E107="","",IF($R107&lt;=0,"KAPANDI",IF(COUNTIFS($A$2:$A$300,$A107,$F$2:$F$300,"&lt;"&amp;$F107,$R$2:$R$300,"&gt;0")=0,"ÖDEMEDE","SIRADA")))</f>
        <v/>
      </c>
      <c r="T107" s="7" t="n"/>
      <c r="U107" s="7" t="n"/>
      <c r="V107">
        <f>IF($E107="","",$A107&amp;"|"&amp;$S107)</f>
        <v/>
      </c>
    </row>
    <row r="108">
      <c r="A108" s="7" t="n"/>
      <c r="B108" s="8">
        <f>IF($A108="","",IFERROR(VLOOKUP($A108,PERSONEL!$A$2:$C$300,2,0),""))</f>
        <v/>
      </c>
      <c r="C108" s="9">
        <f>IF($A108="","",IFERROR(VLOOKUP($A108,PERSONEL!$A$2:$C$300,3,0),""))</f>
        <v/>
      </c>
      <c r="D108" s="10" t="n"/>
      <c r="E108" s="7" t="n"/>
      <c r="F108" s="7" t="n"/>
      <c r="G108" s="7" t="n"/>
      <c r="H108" s="7" t="n"/>
      <c r="I108" s="9" t="n"/>
      <c r="J108" s="7" t="n"/>
      <c r="K108" s="7" t="n"/>
      <c r="L108" s="7" t="n"/>
      <c r="M108" s="9" t="n"/>
      <c r="N108" s="9">
        <f>IF($E108="","",IF($S108&lt;&gt;"ÖDEMEDE",0,MIN($R108,IF($J108="Oran",IFERROR($C108*$K108/$L108,0),$M108))))</f>
        <v/>
      </c>
      <c r="O108" s="9" t="n"/>
      <c r="P108" s="9">
        <f>IF($E108="","",SUMIFS('AYLIK KESİNTİLER'!$E$2:$E$5000,'AYLIK KESİNTİLER'!$A$2:$A$5000,$A108,'AYLIK KESİNTİLER'!$B$2:$B$5000,$E108))</f>
        <v/>
      </c>
      <c r="Q108" s="9">
        <f>IF($E108="","",$O108+$P108)</f>
        <v/>
      </c>
      <c r="R108" s="9">
        <f>IF($E108="","",$I108-$Q108)</f>
        <v/>
      </c>
      <c r="S108" s="12">
        <f>IF($E108="","",IF($R108&lt;=0,"KAPANDI",IF(COUNTIFS($A$2:$A$300,$A108,$F$2:$F$300,"&lt;"&amp;$F108,$R$2:$R$300,"&gt;0")=0,"ÖDEMEDE","SIRADA")))</f>
        <v/>
      </c>
      <c r="T108" s="7" t="n"/>
      <c r="U108" s="7" t="n"/>
      <c r="V108">
        <f>IF($E108="","",$A108&amp;"|"&amp;$S108)</f>
        <v/>
      </c>
    </row>
    <row r="109">
      <c r="A109" s="7" t="n"/>
      <c r="B109" s="8">
        <f>IF($A109="","",IFERROR(VLOOKUP($A109,PERSONEL!$A$2:$C$300,2,0),""))</f>
        <v/>
      </c>
      <c r="C109" s="9">
        <f>IF($A109="","",IFERROR(VLOOKUP($A109,PERSONEL!$A$2:$C$300,3,0),""))</f>
        <v/>
      </c>
      <c r="D109" s="10" t="n"/>
      <c r="E109" s="7" t="n"/>
      <c r="F109" s="7" t="n"/>
      <c r="G109" s="7" t="n"/>
      <c r="H109" s="7" t="n"/>
      <c r="I109" s="9" t="n"/>
      <c r="J109" s="7" t="n"/>
      <c r="K109" s="7" t="n"/>
      <c r="L109" s="7" t="n"/>
      <c r="M109" s="9" t="n"/>
      <c r="N109" s="9">
        <f>IF($E109="","",IF($S109&lt;&gt;"ÖDEMEDE",0,MIN($R109,IF($J109="Oran",IFERROR($C109*$K109/$L109,0),$M109))))</f>
        <v/>
      </c>
      <c r="O109" s="9" t="n"/>
      <c r="P109" s="9">
        <f>IF($E109="","",SUMIFS('AYLIK KESİNTİLER'!$E$2:$E$5000,'AYLIK KESİNTİLER'!$A$2:$A$5000,$A109,'AYLIK KESİNTİLER'!$B$2:$B$5000,$E109))</f>
        <v/>
      </c>
      <c r="Q109" s="9">
        <f>IF($E109="","",$O109+$P109)</f>
        <v/>
      </c>
      <c r="R109" s="9">
        <f>IF($E109="","",$I109-$Q109)</f>
        <v/>
      </c>
      <c r="S109" s="12">
        <f>IF($E109="","",IF($R109&lt;=0,"KAPANDI",IF(COUNTIFS($A$2:$A$300,$A109,$F$2:$F$300,"&lt;"&amp;$F109,$R$2:$R$300,"&gt;0")=0,"ÖDEMEDE","SIRADA")))</f>
        <v/>
      </c>
      <c r="T109" s="7" t="n"/>
      <c r="U109" s="7" t="n"/>
      <c r="V109">
        <f>IF($E109="","",$A109&amp;"|"&amp;$S109)</f>
        <v/>
      </c>
    </row>
    <row r="110">
      <c r="A110" s="7" t="n"/>
      <c r="B110" s="8">
        <f>IF($A110="","",IFERROR(VLOOKUP($A110,PERSONEL!$A$2:$C$300,2,0),""))</f>
        <v/>
      </c>
      <c r="C110" s="9">
        <f>IF($A110="","",IFERROR(VLOOKUP($A110,PERSONEL!$A$2:$C$300,3,0),""))</f>
        <v/>
      </c>
      <c r="D110" s="10" t="n"/>
      <c r="E110" s="7" t="n"/>
      <c r="F110" s="7" t="n"/>
      <c r="G110" s="7" t="n"/>
      <c r="H110" s="7" t="n"/>
      <c r="I110" s="9" t="n"/>
      <c r="J110" s="7" t="n"/>
      <c r="K110" s="7" t="n"/>
      <c r="L110" s="7" t="n"/>
      <c r="M110" s="9" t="n"/>
      <c r="N110" s="9">
        <f>IF($E110="","",IF($S110&lt;&gt;"ÖDEMEDE",0,MIN($R110,IF($J110="Oran",IFERROR($C110*$K110/$L110,0),$M110))))</f>
        <v/>
      </c>
      <c r="O110" s="9" t="n"/>
      <c r="P110" s="9">
        <f>IF($E110="","",SUMIFS('AYLIK KESİNTİLER'!$E$2:$E$5000,'AYLIK KESİNTİLER'!$A$2:$A$5000,$A110,'AYLIK KESİNTİLER'!$B$2:$B$5000,$E110))</f>
        <v/>
      </c>
      <c r="Q110" s="9">
        <f>IF($E110="","",$O110+$P110)</f>
        <v/>
      </c>
      <c r="R110" s="9">
        <f>IF($E110="","",$I110-$Q110)</f>
        <v/>
      </c>
      <c r="S110" s="12">
        <f>IF($E110="","",IF($R110&lt;=0,"KAPANDI",IF(COUNTIFS($A$2:$A$300,$A110,$F$2:$F$300,"&lt;"&amp;$F110,$R$2:$R$300,"&gt;0")=0,"ÖDEMEDE","SIRADA")))</f>
        <v/>
      </c>
      <c r="T110" s="7" t="n"/>
      <c r="U110" s="7" t="n"/>
      <c r="V110">
        <f>IF($E110="","",$A110&amp;"|"&amp;$S110)</f>
        <v/>
      </c>
    </row>
    <row r="111">
      <c r="A111" s="7" t="n"/>
      <c r="B111" s="8">
        <f>IF($A111="","",IFERROR(VLOOKUP($A111,PERSONEL!$A$2:$C$300,2,0),""))</f>
        <v/>
      </c>
      <c r="C111" s="9">
        <f>IF($A111="","",IFERROR(VLOOKUP($A111,PERSONEL!$A$2:$C$300,3,0),""))</f>
        <v/>
      </c>
      <c r="D111" s="10" t="n"/>
      <c r="E111" s="7" t="n"/>
      <c r="F111" s="7" t="n"/>
      <c r="G111" s="7" t="n"/>
      <c r="H111" s="7" t="n"/>
      <c r="I111" s="9" t="n"/>
      <c r="J111" s="7" t="n"/>
      <c r="K111" s="7" t="n"/>
      <c r="L111" s="7" t="n"/>
      <c r="M111" s="9" t="n"/>
      <c r="N111" s="9">
        <f>IF($E111="","",IF($S111&lt;&gt;"ÖDEMEDE",0,MIN($R111,IF($J111="Oran",IFERROR($C111*$K111/$L111,0),$M111))))</f>
        <v/>
      </c>
      <c r="O111" s="9" t="n"/>
      <c r="P111" s="9">
        <f>IF($E111="","",SUMIFS('AYLIK KESİNTİLER'!$E$2:$E$5000,'AYLIK KESİNTİLER'!$A$2:$A$5000,$A111,'AYLIK KESİNTİLER'!$B$2:$B$5000,$E111))</f>
        <v/>
      </c>
      <c r="Q111" s="9">
        <f>IF($E111="","",$O111+$P111)</f>
        <v/>
      </c>
      <c r="R111" s="9">
        <f>IF($E111="","",$I111-$Q111)</f>
        <v/>
      </c>
      <c r="S111" s="12">
        <f>IF($E111="","",IF($R111&lt;=0,"KAPANDI",IF(COUNTIFS($A$2:$A$300,$A111,$F$2:$F$300,"&lt;"&amp;$F111,$R$2:$R$300,"&gt;0")=0,"ÖDEMEDE","SIRADA")))</f>
        <v/>
      </c>
      <c r="T111" s="7" t="n"/>
      <c r="U111" s="7" t="n"/>
      <c r="V111">
        <f>IF($E111="","",$A111&amp;"|"&amp;$S111)</f>
        <v/>
      </c>
    </row>
    <row r="112">
      <c r="A112" s="7" t="n"/>
      <c r="B112" s="8">
        <f>IF($A112="","",IFERROR(VLOOKUP($A112,PERSONEL!$A$2:$C$300,2,0),""))</f>
        <v/>
      </c>
      <c r="C112" s="9">
        <f>IF($A112="","",IFERROR(VLOOKUP($A112,PERSONEL!$A$2:$C$300,3,0),""))</f>
        <v/>
      </c>
      <c r="D112" s="10" t="n"/>
      <c r="E112" s="7" t="n"/>
      <c r="F112" s="7" t="n"/>
      <c r="G112" s="7" t="n"/>
      <c r="H112" s="7" t="n"/>
      <c r="I112" s="9" t="n"/>
      <c r="J112" s="7" t="n"/>
      <c r="K112" s="7" t="n"/>
      <c r="L112" s="7" t="n"/>
      <c r="M112" s="9" t="n"/>
      <c r="N112" s="9">
        <f>IF($E112="","",IF($S112&lt;&gt;"ÖDEMEDE",0,MIN($R112,IF($J112="Oran",IFERROR($C112*$K112/$L112,0),$M112))))</f>
        <v/>
      </c>
      <c r="O112" s="9" t="n"/>
      <c r="P112" s="9">
        <f>IF($E112="","",SUMIFS('AYLIK KESİNTİLER'!$E$2:$E$5000,'AYLIK KESİNTİLER'!$A$2:$A$5000,$A112,'AYLIK KESİNTİLER'!$B$2:$B$5000,$E112))</f>
        <v/>
      </c>
      <c r="Q112" s="9">
        <f>IF($E112="","",$O112+$P112)</f>
        <v/>
      </c>
      <c r="R112" s="9">
        <f>IF($E112="","",$I112-$Q112)</f>
        <v/>
      </c>
      <c r="S112" s="12">
        <f>IF($E112="","",IF($R112&lt;=0,"KAPANDI",IF(COUNTIFS($A$2:$A$300,$A112,$F$2:$F$300,"&lt;"&amp;$F112,$R$2:$R$300,"&gt;0")=0,"ÖDEMEDE","SIRADA")))</f>
        <v/>
      </c>
      <c r="T112" s="7" t="n"/>
      <c r="U112" s="7" t="n"/>
      <c r="V112">
        <f>IF($E112="","",$A112&amp;"|"&amp;$S112)</f>
        <v/>
      </c>
    </row>
    <row r="113">
      <c r="A113" s="7" t="n"/>
      <c r="B113" s="8">
        <f>IF($A113="","",IFERROR(VLOOKUP($A113,PERSONEL!$A$2:$C$300,2,0),""))</f>
        <v/>
      </c>
      <c r="C113" s="9">
        <f>IF($A113="","",IFERROR(VLOOKUP($A113,PERSONEL!$A$2:$C$300,3,0),""))</f>
        <v/>
      </c>
      <c r="D113" s="10" t="n"/>
      <c r="E113" s="7" t="n"/>
      <c r="F113" s="7" t="n"/>
      <c r="G113" s="7" t="n"/>
      <c r="H113" s="7" t="n"/>
      <c r="I113" s="9" t="n"/>
      <c r="J113" s="7" t="n"/>
      <c r="K113" s="7" t="n"/>
      <c r="L113" s="7" t="n"/>
      <c r="M113" s="9" t="n"/>
      <c r="N113" s="9">
        <f>IF($E113="","",IF($S113&lt;&gt;"ÖDEMEDE",0,MIN($R113,IF($J113="Oran",IFERROR($C113*$K113/$L113,0),$M113))))</f>
        <v/>
      </c>
      <c r="O113" s="9" t="n"/>
      <c r="P113" s="9">
        <f>IF($E113="","",SUMIFS('AYLIK KESİNTİLER'!$E$2:$E$5000,'AYLIK KESİNTİLER'!$A$2:$A$5000,$A113,'AYLIK KESİNTİLER'!$B$2:$B$5000,$E113))</f>
        <v/>
      </c>
      <c r="Q113" s="9">
        <f>IF($E113="","",$O113+$P113)</f>
        <v/>
      </c>
      <c r="R113" s="9">
        <f>IF($E113="","",$I113-$Q113)</f>
        <v/>
      </c>
      <c r="S113" s="12">
        <f>IF($E113="","",IF($R113&lt;=0,"KAPANDI",IF(COUNTIFS($A$2:$A$300,$A113,$F$2:$F$300,"&lt;"&amp;$F113,$R$2:$R$300,"&gt;0")=0,"ÖDEMEDE","SIRADA")))</f>
        <v/>
      </c>
      <c r="T113" s="7" t="n"/>
      <c r="U113" s="7" t="n"/>
      <c r="V113">
        <f>IF($E113="","",$A113&amp;"|"&amp;$S113)</f>
        <v/>
      </c>
    </row>
    <row r="114">
      <c r="A114" s="7" t="n"/>
      <c r="B114" s="8">
        <f>IF($A114="","",IFERROR(VLOOKUP($A114,PERSONEL!$A$2:$C$300,2,0),""))</f>
        <v/>
      </c>
      <c r="C114" s="9">
        <f>IF($A114="","",IFERROR(VLOOKUP($A114,PERSONEL!$A$2:$C$300,3,0),""))</f>
        <v/>
      </c>
      <c r="D114" s="10" t="n"/>
      <c r="E114" s="7" t="n"/>
      <c r="F114" s="7" t="n"/>
      <c r="G114" s="7" t="n"/>
      <c r="H114" s="7" t="n"/>
      <c r="I114" s="9" t="n"/>
      <c r="J114" s="7" t="n"/>
      <c r="K114" s="7" t="n"/>
      <c r="L114" s="7" t="n"/>
      <c r="M114" s="9" t="n"/>
      <c r="N114" s="9">
        <f>IF($E114="","",IF($S114&lt;&gt;"ÖDEMEDE",0,MIN($R114,IF($J114="Oran",IFERROR($C114*$K114/$L114,0),$M114))))</f>
        <v/>
      </c>
      <c r="O114" s="9" t="n"/>
      <c r="P114" s="9">
        <f>IF($E114="","",SUMIFS('AYLIK KESİNTİLER'!$E$2:$E$5000,'AYLIK KESİNTİLER'!$A$2:$A$5000,$A114,'AYLIK KESİNTİLER'!$B$2:$B$5000,$E114))</f>
        <v/>
      </c>
      <c r="Q114" s="9">
        <f>IF($E114="","",$O114+$P114)</f>
        <v/>
      </c>
      <c r="R114" s="9">
        <f>IF($E114="","",$I114-$Q114)</f>
        <v/>
      </c>
      <c r="S114" s="12">
        <f>IF($E114="","",IF($R114&lt;=0,"KAPANDI",IF(COUNTIFS($A$2:$A$300,$A114,$F$2:$F$300,"&lt;"&amp;$F114,$R$2:$R$300,"&gt;0")=0,"ÖDEMEDE","SIRADA")))</f>
        <v/>
      </c>
      <c r="T114" s="7" t="n"/>
      <c r="U114" s="7" t="n"/>
      <c r="V114">
        <f>IF($E114="","",$A114&amp;"|"&amp;$S114)</f>
        <v/>
      </c>
    </row>
    <row r="115">
      <c r="A115" s="7" t="n"/>
      <c r="B115" s="8">
        <f>IF($A115="","",IFERROR(VLOOKUP($A115,PERSONEL!$A$2:$C$300,2,0),""))</f>
        <v/>
      </c>
      <c r="C115" s="9">
        <f>IF($A115="","",IFERROR(VLOOKUP($A115,PERSONEL!$A$2:$C$300,3,0),""))</f>
        <v/>
      </c>
      <c r="D115" s="10" t="n"/>
      <c r="E115" s="7" t="n"/>
      <c r="F115" s="7" t="n"/>
      <c r="G115" s="7" t="n"/>
      <c r="H115" s="7" t="n"/>
      <c r="I115" s="9" t="n"/>
      <c r="J115" s="7" t="n"/>
      <c r="K115" s="7" t="n"/>
      <c r="L115" s="7" t="n"/>
      <c r="M115" s="9" t="n"/>
      <c r="N115" s="9">
        <f>IF($E115="","",IF($S115&lt;&gt;"ÖDEMEDE",0,MIN($R115,IF($J115="Oran",IFERROR($C115*$K115/$L115,0),$M115))))</f>
        <v/>
      </c>
      <c r="O115" s="9" t="n"/>
      <c r="P115" s="9">
        <f>IF($E115="","",SUMIFS('AYLIK KESİNTİLER'!$E$2:$E$5000,'AYLIK KESİNTİLER'!$A$2:$A$5000,$A115,'AYLIK KESİNTİLER'!$B$2:$B$5000,$E115))</f>
        <v/>
      </c>
      <c r="Q115" s="9">
        <f>IF($E115="","",$O115+$P115)</f>
        <v/>
      </c>
      <c r="R115" s="9">
        <f>IF($E115="","",$I115-$Q115)</f>
        <v/>
      </c>
      <c r="S115" s="12">
        <f>IF($E115="","",IF($R115&lt;=0,"KAPANDI",IF(COUNTIFS($A$2:$A$300,$A115,$F$2:$F$300,"&lt;"&amp;$F115,$R$2:$R$300,"&gt;0")=0,"ÖDEMEDE","SIRADA")))</f>
        <v/>
      </c>
      <c r="T115" s="7" t="n"/>
      <c r="U115" s="7" t="n"/>
      <c r="V115">
        <f>IF($E115="","",$A115&amp;"|"&amp;$S115)</f>
        <v/>
      </c>
    </row>
    <row r="116">
      <c r="A116" s="7" t="n"/>
      <c r="B116" s="8">
        <f>IF($A116="","",IFERROR(VLOOKUP($A116,PERSONEL!$A$2:$C$300,2,0),""))</f>
        <v/>
      </c>
      <c r="C116" s="9">
        <f>IF($A116="","",IFERROR(VLOOKUP($A116,PERSONEL!$A$2:$C$300,3,0),""))</f>
        <v/>
      </c>
      <c r="D116" s="10" t="n"/>
      <c r="E116" s="7" t="n"/>
      <c r="F116" s="7" t="n"/>
      <c r="G116" s="7" t="n"/>
      <c r="H116" s="7" t="n"/>
      <c r="I116" s="9" t="n"/>
      <c r="J116" s="7" t="n"/>
      <c r="K116" s="7" t="n"/>
      <c r="L116" s="7" t="n"/>
      <c r="M116" s="9" t="n"/>
      <c r="N116" s="9">
        <f>IF($E116="","",IF($S116&lt;&gt;"ÖDEMEDE",0,MIN($R116,IF($J116="Oran",IFERROR($C116*$K116/$L116,0),$M116))))</f>
        <v/>
      </c>
      <c r="O116" s="9" t="n"/>
      <c r="P116" s="9">
        <f>IF($E116="","",SUMIFS('AYLIK KESİNTİLER'!$E$2:$E$5000,'AYLIK KESİNTİLER'!$A$2:$A$5000,$A116,'AYLIK KESİNTİLER'!$B$2:$B$5000,$E116))</f>
        <v/>
      </c>
      <c r="Q116" s="9">
        <f>IF($E116="","",$O116+$P116)</f>
        <v/>
      </c>
      <c r="R116" s="9">
        <f>IF($E116="","",$I116-$Q116)</f>
        <v/>
      </c>
      <c r="S116" s="12">
        <f>IF($E116="","",IF($R116&lt;=0,"KAPANDI",IF(COUNTIFS($A$2:$A$300,$A116,$F$2:$F$300,"&lt;"&amp;$F116,$R$2:$R$300,"&gt;0")=0,"ÖDEMEDE","SIRADA")))</f>
        <v/>
      </c>
      <c r="T116" s="7" t="n"/>
      <c r="U116" s="7" t="n"/>
      <c r="V116">
        <f>IF($E116="","",$A116&amp;"|"&amp;$S116)</f>
        <v/>
      </c>
    </row>
    <row r="117">
      <c r="A117" s="7" t="n"/>
      <c r="B117" s="8">
        <f>IF($A117="","",IFERROR(VLOOKUP($A117,PERSONEL!$A$2:$C$300,2,0),""))</f>
        <v/>
      </c>
      <c r="C117" s="9">
        <f>IF($A117="","",IFERROR(VLOOKUP($A117,PERSONEL!$A$2:$C$300,3,0),""))</f>
        <v/>
      </c>
      <c r="D117" s="10" t="n"/>
      <c r="E117" s="7" t="n"/>
      <c r="F117" s="7" t="n"/>
      <c r="G117" s="7" t="n"/>
      <c r="H117" s="7" t="n"/>
      <c r="I117" s="9" t="n"/>
      <c r="J117" s="7" t="n"/>
      <c r="K117" s="7" t="n"/>
      <c r="L117" s="7" t="n"/>
      <c r="M117" s="9" t="n"/>
      <c r="N117" s="9">
        <f>IF($E117="","",IF($S117&lt;&gt;"ÖDEMEDE",0,MIN($R117,IF($J117="Oran",IFERROR($C117*$K117/$L117,0),$M117))))</f>
        <v/>
      </c>
      <c r="O117" s="9" t="n"/>
      <c r="P117" s="9">
        <f>IF($E117="","",SUMIFS('AYLIK KESİNTİLER'!$E$2:$E$5000,'AYLIK KESİNTİLER'!$A$2:$A$5000,$A117,'AYLIK KESİNTİLER'!$B$2:$B$5000,$E117))</f>
        <v/>
      </c>
      <c r="Q117" s="9">
        <f>IF($E117="","",$O117+$P117)</f>
        <v/>
      </c>
      <c r="R117" s="9">
        <f>IF($E117="","",$I117-$Q117)</f>
        <v/>
      </c>
      <c r="S117" s="12">
        <f>IF($E117="","",IF($R117&lt;=0,"KAPANDI",IF(COUNTIFS($A$2:$A$300,$A117,$F$2:$F$300,"&lt;"&amp;$F117,$R$2:$R$300,"&gt;0")=0,"ÖDEMEDE","SIRADA")))</f>
        <v/>
      </c>
      <c r="T117" s="7" t="n"/>
      <c r="U117" s="7" t="n"/>
      <c r="V117">
        <f>IF($E117="","",$A117&amp;"|"&amp;$S117)</f>
        <v/>
      </c>
    </row>
    <row r="118">
      <c r="A118" s="7" t="n"/>
      <c r="B118" s="8">
        <f>IF($A118="","",IFERROR(VLOOKUP($A118,PERSONEL!$A$2:$C$300,2,0),""))</f>
        <v/>
      </c>
      <c r="C118" s="9">
        <f>IF($A118="","",IFERROR(VLOOKUP($A118,PERSONEL!$A$2:$C$300,3,0),""))</f>
        <v/>
      </c>
      <c r="D118" s="10" t="n"/>
      <c r="E118" s="7" t="n"/>
      <c r="F118" s="7" t="n"/>
      <c r="G118" s="7" t="n"/>
      <c r="H118" s="7" t="n"/>
      <c r="I118" s="9" t="n"/>
      <c r="J118" s="7" t="n"/>
      <c r="K118" s="7" t="n"/>
      <c r="L118" s="7" t="n"/>
      <c r="M118" s="9" t="n"/>
      <c r="N118" s="9">
        <f>IF($E118="","",IF($S118&lt;&gt;"ÖDEMEDE",0,MIN($R118,IF($J118="Oran",IFERROR($C118*$K118/$L118,0),$M118))))</f>
        <v/>
      </c>
      <c r="O118" s="9" t="n"/>
      <c r="P118" s="9">
        <f>IF($E118="","",SUMIFS('AYLIK KESİNTİLER'!$E$2:$E$5000,'AYLIK KESİNTİLER'!$A$2:$A$5000,$A118,'AYLIK KESİNTİLER'!$B$2:$B$5000,$E118))</f>
        <v/>
      </c>
      <c r="Q118" s="9">
        <f>IF($E118="","",$O118+$P118)</f>
        <v/>
      </c>
      <c r="R118" s="9">
        <f>IF($E118="","",$I118-$Q118)</f>
        <v/>
      </c>
      <c r="S118" s="12">
        <f>IF($E118="","",IF($R118&lt;=0,"KAPANDI",IF(COUNTIFS($A$2:$A$300,$A118,$F$2:$F$300,"&lt;"&amp;$F118,$R$2:$R$300,"&gt;0")=0,"ÖDEMEDE","SIRADA")))</f>
        <v/>
      </c>
      <c r="T118" s="7" t="n"/>
      <c r="U118" s="7" t="n"/>
      <c r="V118">
        <f>IF($E118="","",$A118&amp;"|"&amp;$S118)</f>
        <v/>
      </c>
    </row>
    <row r="119">
      <c r="A119" s="7" t="n"/>
      <c r="B119" s="8">
        <f>IF($A119="","",IFERROR(VLOOKUP($A119,PERSONEL!$A$2:$C$300,2,0),""))</f>
        <v/>
      </c>
      <c r="C119" s="9">
        <f>IF($A119="","",IFERROR(VLOOKUP($A119,PERSONEL!$A$2:$C$300,3,0),""))</f>
        <v/>
      </c>
      <c r="D119" s="10" t="n"/>
      <c r="E119" s="7" t="n"/>
      <c r="F119" s="7" t="n"/>
      <c r="G119" s="7" t="n"/>
      <c r="H119" s="7" t="n"/>
      <c r="I119" s="9" t="n"/>
      <c r="J119" s="7" t="n"/>
      <c r="K119" s="7" t="n"/>
      <c r="L119" s="7" t="n"/>
      <c r="M119" s="9" t="n"/>
      <c r="N119" s="9">
        <f>IF($E119="","",IF($S119&lt;&gt;"ÖDEMEDE",0,MIN($R119,IF($J119="Oran",IFERROR($C119*$K119/$L119,0),$M119))))</f>
        <v/>
      </c>
      <c r="O119" s="9" t="n"/>
      <c r="P119" s="9">
        <f>IF($E119="","",SUMIFS('AYLIK KESİNTİLER'!$E$2:$E$5000,'AYLIK KESİNTİLER'!$A$2:$A$5000,$A119,'AYLIK KESİNTİLER'!$B$2:$B$5000,$E119))</f>
        <v/>
      </c>
      <c r="Q119" s="9">
        <f>IF($E119="","",$O119+$P119)</f>
        <v/>
      </c>
      <c r="R119" s="9">
        <f>IF($E119="","",$I119-$Q119)</f>
        <v/>
      </c>
      <c r="S119" s="12">
        <f>IF($E119="","",IF($R119&lt;=0,"KAPANDI",IF(COUNTIFS($A$2:$A$300,$A119,$F$2:$F$300,"&lt;"&amp;$F119,$R$2:$R$300,"&gt;0")=0,"ÖDEMEDE","SIRADA")))</f>
        <v/>
      </c>
      <c r="T119" s="7" t="n"/>
      <c r="U119" s="7" t="n"/>
      <c r="V119">
        <f>IF($E119="","",$A119&amp;"|"&amp;$S119)</f>
        <v/>
      </c>
    </row>
    <row r="120">
      <c r="A120" s="7" t="n"/>
      <c r="B120" s="8">
        <f>IF($A120="","",IFERROR(VLOOKUP($A120,PERSONEL!$A$2:$C$300,2,0),""))</f>
        <v/>
      </c>
      <c r="C120" s="9">
        <f>IF($A120="","",IFERROR(VLOOKUP($A120,PERSONEL!$A$2:$C$300,3,0),""))</f>
        <v/>
      </c>
      <c r="D120" s="10" t="n"/>
      <c r="E120" s="7" t="n"/>
      <c r="F120" s="7" t="n"/>
      <c r="G120" s="7" t="n"/>
      <c r="H120" s="7" t="n"/>
      <c r="I120" s="9" t="n"/>
      <c r="J120" s="7" t="n"/>
      <c r="K120" s="7" t="n"/>
      <c r="L120" s="7" t="n"/>
      <c r="M120" s="9" t="n"/>
      <c r="N120" s="9">
        <f>IF($E120="","",IF($S120&lt;&gt;"ÖDEMEDE",0,MIN($R120,IF($J120="Oran",IFERROR($C120*$K120/$L120,0),$M120))))</f>
        <v/>
      </c>
      <c r="O120" s="9" t="n"/>
      <c r="P120" s="9">
        <f>IF($E120="","",SUMIFS('AYLIK KESİNTİLER'!$E$2:$E$5000,'AYLIK KESİNTİLER'!$A$2:$A$5000,$A120,'AYLIK KESİNTİLER'!$B$2:$B$5000,$E120))</f>
        <v/>
      </c>
      <c r="Q120" s="9">
        <f>IF($E120="","",$O120+$P120)</f>
        <v/>
      </c>
      <c r="R120" s="9">
        <f>IF($E120="","",$I120-$Q120)</f>
        <v/>
      </c>
      <c r="S120" s="12">
        <f>IF($E120="","",IF($R120&lt;=0,"KAPANDI",IF(COUNTIFS($A$2:$A$300,$A120,$F$2:$F$300,"&lt;"&amp;$F120,$R$2:$R$300,"&gt;0")=0,"ÖDEMEDE","SIRADA")))</f>
        <v/>
      </c>
      <c r="T120" s="7" t="n"/>
      <c r="U120" s="7" t="n"/>
      <c r="V120">
        <f>IF($E120="","",$A120&amp;"|"&amp;$S120)</f>
        <v/>
      </c>
    </row>
    <row r="121">
      <c r="A121" s="7" t="n"/>
      <c r="B121" s="8">
        <f>IF($A121="","",IFERROR(VLOOKUP($A121,PERSONEL!$A$2:$C$300,2,0),""))</f>
        <v/>
      </c>
      <c r="C121" s="9">
        <f>IF($A121="","",IFERROR(VLOOKUP($A121,PERSONEL!$A$2:$C$300,3,0),""))</f>
        <v/>
      </c>
      <c r="D121" s="10" t="n"/>
      <c r="E121" s="7" t="n"/>
      <c r="F121" s="7" t="n"/>
      <c r="G121" s="7" t="n"/>
      <c r="H121" s="7" t="n"/>
      <c r="I121" s="9" t="n"/>
      <c r="J121" s="7" t="n"/>
      <c r="K121" s="7" t="n"/>
      <c r="L121" s="7" t="n"/>
      <c r="M121" s="9" t="n"/>
      <c r="N121" s="9">
        <f>IF($E121="","",IF($S121&lt;&gt;"ÖDEMEDE",0,MIN($R121,IF($J121="Oran",IFERROR($C121*$K121/$L121,0),$M121))))</f>
        <v/>
      </c>
      <c r="O121" s="9" t="n"/>
      <c r="P121" s="9">
        <f>IF($E121="","",SUMIFS('AYLIK KESİNTİLER'!$E$2:$E$5000,'AYLIK KESİNTİLER'!$A$2:$A$5000,$A121,'AYLIK KESİNTİLER'!$B$2:$B$5000,$E121))</f>
        <v/>
      </c>
      <c r="Q121" s="9">
        <f>IF($E121="","",$O121+$P121)</f>
        <v/>
      </c>
      <c r="R121" s="9">
        <f>IF($E121="","",$I121-$Q121)</f>
        <v/>
      </c>
      <c r="S121" s="12">
        <f>IF($E121="","",IF($R121&lt;=0,"KAPANDI",IF(COUNTIFS($A$2:$A$300,$A121,$F$2:$F$300,"&lt;"&amp;$F121,$R$2:$R$300,"&gt;0")=0,"ÖDEMEDE","SIRADA")))</f>
        <v/>
      </c>
      <c r="T121" s="7" t="n"/>
      <c r="U121" s="7" t="n"/>
      <c r="V121">
        <f>IF($E121="","",$A121&amp;"|"&amp;$S121)</f>
        <v/>
      </c>
    </row>
    <row r="122">
      <c r="A122" s="7" t="n"/>
      <c r="B122" s="8">
        <f>IF($A122="","",IFERROR(VLOOKUP($A122,PERSONEL!$A$2:$C$300,2,0),""))</f>
        <v/>
      </c>
      <c r="C122" s="9">
        <f>IF($A122="","",IFERROR(VLOOKUP($A122,PERSONEL!$A$2:$C$300,3,0),""))</f>
        <v/>
      </c>
      <c r="D122" s="10" t="n"/>
      <c r="E122" s="7" t="n"/>
      <c r="F122" s="7" t="n"/>
      <c r="G122" s="7" t="n"/>
      <c r="H122" s="7" t="n"/>
      <c r="I122" s="9" t="n"/>
      <c r="J122" s="7" t="n"/>
      <c r="K122" s="7" t="n"/>
      <c r="L122" s="7" t="n"/>
      <c r="M122" s="9" t="n"/>
      <c r="N122" s="9">
        <f>IF($E122="","",IF($S122&lt;&gt;"ÖDEMEDE",0,MIN($R122,IF($J122="Oran",IFERROR($C122*$K122/$L122,0),$M122))))</f>
        <v/>
      </c>
      <c r="O122" s="9" t="n"/>
      <c r="P122" s="9">
        <f>IF($E122="","",SUMIFS('AYLIK KESİNTİLER'!$E$2:$E$5000,'AYLIK KESİNTİLER'!$A$2:$A$5000,$A122,'AYLIK KESİNTİLER'!$B$2:$B$5000,$E122))</f>
        <v/>
      </c>
      <c r="Q122" s="9">
        <f>IF($E122="","",$O122+$P122)</f>
        <v/>
      </c>
      <c r="R122" s="9">
        <f>IF($E122="","",$I122-$Q122)</f>
        <v/>
      </c>
      <c r="S122" s="12">
        <f>IF($E122="","",IF($R122&lt;=0,"KAPANDI",IF(COUNTIFS($A$2:$A$300,$A122,$F$2:$F$300,"&lt;"&amp;$F122,$R$2:$R$300,"&gt;0")=0,"ÖDEMEDE","SIRADA")))</f>
        <v/>
      </c>
      <c r="T122" s="7" t="n"/>
      <c r="U122" s="7" t="n"/>
      <c r="V122">
        <f>IF($E122="","",$A122&amp;"|"&amp;$S122)</f>
        <v/>
      </c>
    </row>
    <row r="123">
      <c r="A123" s="7" t="n"/>
      <c r="B123" s="8">
        <f>IF($A123="","",IFERROR(VLOOKUP($A123,PERSONEL!$A$2:$C$300,2,0),""))</f>
        <v/>
      </c>
      <c r="C123" s="9">
        <f>IF($A123="","",IFERROR(VLOOKUP($A123,PERSONEL!$A$2:$C$300,3,0),""))</f>
        <v/>
      </c>
      <c r="D123" s="10" t="n"/>
      <c r="E123" s="7" t="n"/>
      <c r="F123" s="7" t="n"/>
      <c r="G123" s="7" t="n"/>
      <c r="H123" s="7" t="n"/>
      <c r="I123" s="9" t="n"/>
      <c r="J123" s="7" t="n"/>
      <c r="K123" s="7" t="n"/>
      <c r="L123" s="7" t="n"/>
      <c r="M123" s="9" t="n"/>
      <c r="N123" s="9">
        <f>IF($E123="","",IF($S123&lt;&gt;"ÖDEMEDE",0,MIN($R123,IF($J123="Oran",IFERROR($C123*$K123/$L123,0),$M123))))</f>
        <v/>
      </c>
      <c r="O123" s="9" t="n"/>
      <c r="P123" s="9">
        <f>IF($E123="","",SUMIFS('AYLIK KESİNTİLER'!$E$2:$E$5000,'AYLIK KESİNTİLER'!$A$2:$A$5000,$A123,'AYLIK KESİNTİLER'!$B$2:$B$5000,$E123))</f>
        <v/>
      </c>
      <c r="Q123" s="9">
        <f>IF($E123="","",$O123+$P123)</f>
        <v/>
      </c>
      <c r="R123" s="9">
        <f>IF($E123="","",$I123-$Q123)</f>
        <v/>
      </c>
      <c r="S123" s="12">
        <f>IF($E123="","",IF($R123&lt;=0,"KAPANDI",IF(COUNTIFS($A$2:$A$300,$A123,$F$2:$F$300,"&lt;"&amp;$F123,$R$2:$R$300,"&gt;0")=0,"ÖDEMEDE","SIRADA")))</f>
        <v/>
      </c>
      <c r="T123" s="7" t="n"/>
      <c r="U123" s="7" t="n"/>
      <c r="V123">
        <f>IF($E123="","",$A123&amp;"|"&amp;$S123)</f>
        <v/>
      </c>
    </row>
    <row r="124">
      <c r="A124" s="7" t="n"/>
      <c r="B124" s="8">
        <f>IF($A124="","",IFERROR(VLOOKUP($A124,PERSONEL!$A$2:$C$300,2,0),""))</f>
        <v/>
      </c>
      <c r="C124" s="9">
        <f>IF($A124="","",IFERROR(VLOOKUP($A124,PERSONEL!$A$2:$C$300,3,0),""))</f>
        <v/>
      </c>
      <c r="D124" s="10" t="n"/>
      <c r="E124" s="7" t="n"/>
      <c r="F124" s="7" t="n"/>
      <c r="G124" s="7" t="n"/>
      <c r="H124" s="7" t="n"/>
      <c r="I124" s="9" t="n"/>
      <c r="J124" s="7" t="n"/>
      <c r="K124" s="7" t="n"/>
      <c r="L124" s="7" t="n"/>
      <c r="M124" s="9" t="n"/>
      <c r="N124" s="9">
        <f>IF($E124="","",IF($S124&lt;&gt;"ÖDEMEDE",0,MIN($R124,IF($J124="Oran",IFERROR($C124*$K124/$L124,0),$M124))))</f>
        <v/>
      </c>
      <c r="O124" s="9" t="n"/>
      <c r="P124" s="9">
        <f>IF($E124="","",SUMIFS('AYLIK KESİNTİLER'!$E$2:$E$5000,'AYLIK KESİNTİLER'!$A$2:$A$5000,$A124,'AYLIK KESİNTİLER'!$B$2:$B$5000,$E124))</f>
        <v/>
      </c>
      <c r="Q124" s="9">
        <f>IF($E124="","",$O124+$P124)</f>
        <v/>
      </c>
      <c r="R124" s="9">
        <f>IF($E124="","",$I124-$Q124)</f>
        <v/>
      </c>
      <c r="S124" s="12">
        <f>IF($E124="","",IF($R124&lt;=0,"KAPANDI",IF(COUNTIFS($A$2:$A$300,$A124,$F$2:$F$300,"&lt;"&amp;$F124,$R$2:$R$300,"&gt;0")=0,"ÖDEMEDE","SIRADA")))</f>
        <v/>
      </c>
      <c r="T124" s="7" t="n"/>
      <c r="U124" s="7" t="n"/>
      <c r="V124">
        <f>IF($E124="","",$A124&amp;"|"&amp;$S124)</f>
        <v/>
      </c>
    </row>
    <row r="125">
      <c r="A125" s="7" t="n"/>
      <c r="B125" s="8">
        <f>IF($A125="","",IFERROR(VLOOKUP($A125,PERSONEL!$A$2:$C$300,2,0),""))</f>
        <v/>
      </c>
      <c r="C125" s="9">
        <f>IF($A125="","",IFERROR(VLOOKUP($A125,PERSONEL!$A$2:$C$300,3,0),""))</f>
        <v/>
      </c>
      <c r="D125" s="10" t="n"/>
      <c r="E125" s="7" t="n"/>
      <c r="F125" s="7" t="n"/>
      <c r="G125" s="7" t="n"/>
      <c r="H125" s="7" t="n"/>
      <c r="I125" s="9" t="n"/>
      <c r="J125" s="7" t="n"/>
      <c r="K125" s="7" t="n"/>
      <c r="L125" s="7" t="n"/>
      <c r="M125" s="9" t="n"/>
      <c r="N125" s="9">
        <f>IF($E125="","",IF($S125&lt;&gt;"ÖDEMEDE",0,MIN($R125,IF($J125="Oran",IFERROR($C125*$K125/$L125,0),$M125))))</f>
        <v/>
      </c>
      <c r="O125" s="9" t="n"/>
      <c r="P125" s="9">
        <f>IF($E125="","",SUMIFS('AYLIK KESİNTİLER'!$E$2:$E$5000,'AYLIK KESİNTİLER'!$A$2:$A$5000,$A125,'AYLIK KESİNTİLER'!$B$2:$B$5000,$E125))</f>
        <v/>
      </c>
      <c r="Q125" s="9">
        <f>IF($E125="","",$O125+$P125)</f>
        <v/>
      </c>
      <c r="R125" s="9">
        <f>IF($E125="","",$I125-$Q125)</f>
        <v/>
      </c>
      <c r="S125" s="12">
        <f>IF($E125="","",IF($R125&lt;=0,"KAPANDI",IF(COUNTIFS($A$2:$A$300,$A125,$F$2:$F$300,"&lt;"&amp;$F125,$R$2:$R$300,"&gt;0")=0,"ÖDEMEDE","SIRADA")))</f>
        <v/>
      </c>
      <c r="T125" s="7" t="n"/>
      <c r="U125" s="7" t="n"/>
      <c r="V125">
        <f>IF($E125="","",$A125&amp;"|"&amp;$S125)</f>
        <v/>
      </c>
    </row>
    <row r="126">
      <c r="A126" s="7" t="n"/>
      <c r="B126" s="8">
        <f>IF($A126="","",IFERROR(VLOOKUP($A126,PERSONEL!$A$2:$C$300,2,0),""))</f>
        <v/>
      </c>
      <c r="C126" s="9">
        <f>IF($A126="","",IFERROR(VLOOKUP($A126,PERSONEL!$A$2:$C$300,3,0),""))</f>
        <v/>
      </c>
      <c r="D126" s="10" t="n"/>
      <c r="E126" s="7" t="n"/>
      <c r="F126" s="7" t="n"/>
      <c r="G126" s="7" t="n"/>
      <c r="H126" s="7" t="n"/>
      <c r="I126" s="9" t="n"/>
      <c r="J126" s="7" t="n"/>
      <c r="K126" s="7" t="n"/>
      <c r="L126" s="7" t="n"/>
      <c r="M126" s="9" t="n"/>
      <c r="N126" s="9">
        <f>IF($E126="","",IF($S126&lt;&gt;"ÖDEMEDE",0,MIN($R126,IF($J126="Oran",IFERROR($C126*$K126/$L126,0),$M126))))</f>
        <v/>
      </c>
      <c r="O126" s="9" t="n"/>
      <c r="P126" s="9">
        <f>IF($E126="","",SUMIFS('AYLIK KESİNTİLER'!$E$2:$E$5000,'AYLIK KESİNTİLER'!$A$2:$A$5000,$A126,'AYLIK KESİNTİLER'!$B$2:$B$5000,$E126))</f>
        <v/>
      </c>
      <c r="Q126" s="9">
        <f>IF($E126="","",$O126+$P126)</f>
        <v/>
      </c>
      <c r="R126" s="9">
        <f>IF($E126="","",$I126-$Q126)</f>
        <v/>
      </c>
      <c r="S126" s="12">
        <f>IF($E126="","",IF($R126&lt;=0,"KAPANDI",IF(COUNTIFS($A$2:$A$300,$A126,$F$2:$F$300,"&lt;"&amp;$F126,$R$2:$R$300,"&gt;0")=0,"ÖDEMEDE","SIRADA")))</f>
        <v/>
      </c>
      <c r="T126" s="7" t="n"/>
      <c r="U126" s="7" t="n"/>
      <c r="V126">
        <f>IF($E126="","",$A126&amp;"|"&amp;$S126)</f>
        <v/>
      </c>
    </row>
    <row r="127">
      <c r="A127" s="7" t="n"/>
      <c r="B127" s="8">
        <f>IF($A127="","",IFERROR(VLOOKUP($A127,PERSONEL!$A$2:$C$300,2,0),""))</f>
        <v/>
      </c>
      <c r="C127" s="9">
        <f>IF($A127="","",IFERROR(VLOOKUP($A127,PERSONEL!$A$2:$C$300,3,0),""))</f>
        <v/>
      </c>
      <c r="D127" s="10" t="n"/>
      <c r="E127" s="7" t="n"/>
      <c r="F127" s="7" t="n"/>
      <c r="G127" s="7" t="n"/>
      <c r="H127" s="7" t="n"/>
      <c r="I127" s="9" t="n"/>
      <c r="J127" s="7" t="n"/>
      <c r="K127" s="7" t="n"/>
      <c r="L127" s="7" t="n"/>
      <c r="M127" s="9" t="n"/>
      <c r="N127" s="9">
        <f>IF($E127="","",IF($S127&lt;&gt;"ÖDEMEDE",0,MIN($R127,IF($J127="Oran",IFERROR($C127*$K127/$L127,0),$M127))))</f>
        <v/>
      </c>
      <c r="O127" s="9" t="n"/>
      <c r="P127" s="9">
        <f>IF($E127="","",SUMIFS('AYLIK KESİNTİLER'!$E$2:$E$5000,'AYLIK KESİNTİLER'!$A$2:$A$5000,$A127,'AYLIK KESİNTİLER'!$B$2:$B$5000,$E127))</f>
        <v/>
      </c>
      <c r="Q127" s="9">
        <f>IF($E127="","",$O127+$P127)</f>
        <v/>
      </c>
      <c r="R127" s="9">
        <f>IF($E127="","",$I127-$Q127)</f>
        <v/>
      </c>
      <c r="S127" s="12">
        <f>IF($E127="","",IF($R127&lt;=0,"KAPANDI",IF(COUNTIFS($A$2:$A$300,$A127,$F$2:$F$300,"&lt;"&amp;$F127,$R$2:$R$300,"&gt;0")=0,"ÖDEMEDE","SIRADA")))</f>
        <v/>
      </c>
      <c r="T127" s="7" t="n"/>
      <c r="U127" s="7" t="n"/>
      <c r="V127">
        <f>IF($E127="","",$A127&amp;"|"&amp;$S127)</f>
        <v/>
      </c>
    </row>
    <row r="128">
      <c r="A128" s="7" t="n"/>
      <c r="B128" s="8">
        <f>IF($A128="","",IFERROR(VLOOKUP($A128,PERSONEL!$A$2:$C$300,2,0),""))</f>
        <v/>
      </c>
      <c r="C128" s="9">
        <f>IF($A128="","",IFERROR(VLOOKUP($A128,PERSONEL!$A$2:$C$300,3,0),""))</f>
        <v/>
      </c>
      <c r="D128" s="10" t="n"/>
      <c r="E128" s="7" t="n"/>
      <c r="F128" s="7" t="n"/>
      <c r="G128" s="7" t="n"/>
      <c r="H128" s="7" t="n"/>
      <c r="I128" s="9" t="n"/>
      <c r="J128" s="7" t="n"/>
      <c r="K128" s="7" t="n"/>
      <c r="L128" s="7" t="n"/>
      <c r="M128" s="9" t="n"/>
      <c r="N128" s="9">
        <f>IF($E128="","",IF($S128&lt;&gt;"ÖDEMEDE",0,MIN($R128,IF($J128="Oran",IFERROR($C128*$K128/$L128,0),$M128))))</f>
        <v/>
      </c>
      <c r="O128" s="9" t="n"/>
      <c r="P128" s="9">
        <f>IF($E128="","",SUMIFS('AYLIK KESİNTİLER'!$E$2:$E$5000,'AYLIK KESİNTİLER'!$A$2:$A$5000,$A128,'AYLIK KESİNTİLER'!$B$2:$B$5000,$E128))</f>
        <v/>
      </c>
      <c r="Q128" s="9">
        <f>IF($E128="","",$O128+$P128)</f>
        <v/>
      </c>
      <c r="R128" s="9">
        <f>IF($E128="","",$I128-$Q128)</f>
        <v/>
      </c>
      <c r="S128" s="12">
        <f>IF($E128="","",IF($R128&lt;=0,"KAPANDI",IF(COUNTIFS($A$2:$A$300,$A128,$F$2:$F$300,"&lt;"&amp;$F128,$R$2:$R$300,"&gt;0")=0,"ÖDEMEDE","SIRADA")))</f>
        <v/>
      </c>
      <c r="T128" s="7" t="n"/>
      <c r="U128" s="7" t="n"/>
      <c r="V128">
        <f>IF($E128="","",$A128&amp;"|"&amp;$S128)</f>
        <v/>
      </c>
    </row>
    <row r="129">
      <c r="A129" s="7" t="n"/>
      <c r="B129" s="8">
        <f>IF($A129="","",IFERROR(VLOOKUP($A129,PERSONEL!$A$2:$C$300,2,0),""))</f>
        <v/>
      </c>
      <c r="C129" s="9">
        <f>IF($A129="","",IFERROR(VLOOKUP($A129,PERSONEL!$A$2:$C$300,3,0),""))</f>
        <v/>
      </c>
      <c r="D129" s="10" t="n"/>
      <c r="E129" s="7" t="n"/>
      <c r="F129" s="7" t="n"/>
      <c r="G129" s="7" t="n"/>
      <c r="H129" s="7" t="n"/>
      <c r="I129" s="9" t="n"/>
      <c r="J129" s="7" t="n"/>
      <c r="K129" s="7" t="n"/>
      <c r="L129" s="7" t="n"/>
      <c r="M129" s="9" t="n"/>
      <c r="N129" s="9">
        <f>IF($E129="","",IF($S129&lt;&gt;"ÖDEMEDE",0,MIN($R129,IF($J129="Oran",IFERROR($C129*$K129/$L129,0),$M129))))</f>
        <v/>
      </c>
      <c r="O129" s="9" t="n"/>
      <c r="P129" s="9">
        <f>IF($E129="","",SUMIFS('AYLIK KESİNTİLER'!$E$2:$E$5000,'AYLIK KESİNTİLER'!$A$2:$A$5000,$A129,'AYLIK KESİNTİLER'!$B$2:$B$5000,$E129))</f>
        <v/>
      </c>
      <c r="Q129" s="9">
        <f>IF($E129="","",$O129+$P129)</f>
        <v/>
      </c>
      <c r="R129" s="9">
        <f>IF($E129="","",$I129-$Q129)</f>
        <v/>
      </c>
      <c r="S129" s="12">
        <f>IF($E129="","",IF($R129&lt;=0,"KAPANDI",IF(COUNTIFS($A$2:$A$300,$A129,$F$2:$F$300,"&lt;"&amp;$F129,$R$2:$R$300,"&gt;0")=0,"ÖDEMEDE","SIRADA")))</f>
        <v/>
      </c>
      <c r="T129" s="7" t="n"/>
      <c r="U129" s="7" t="n"/>
      <c r="V129">
        <f>IF($E129="","",$A129&amp;"|"&amp;$S129)</f>
        <v/>
      </c>
    </row>
    <row r="130">
      <c r="A130" s="7" t="n"/>
      <c r="B130" s="8">
        <f>IF($A130="","",IFERROR(VLOOKUP($A130,PERSONEL!$A$2:$C$300,2,0),""))</f>
        <v/>
      </c>
      <c r="C130" s="9">
        <f>IF($A130="","",IFERROR(VLOOKUP($A130,PERSONEL!$A$2:$C$300,3,0),""))</f>
        <v/>
      </c>
      <c r="D130" s="10" t="n"/>
      <c r="E130" s="7" t="n"/>
      <c r="F130" s="7" t="n"/>
      <c r="G130" s="7" t="n"/>
      <c r="H130" s="7" t="n"/>
      <c r="I130" s="9" t="n"/>
      <c r="J130" s="7" t="n"/>
      <c r="K130" s="7" t="n"/>
      <c r="L130" s="7" t="n"/>
      <c r="M130" s="9" t="n"/>
      <c r="N130" s="9">
        <f>IF($E130="","",IF($S130&lt;&gt;"ÖDEMEDE",0,MIN($R130,IF($J130="Oran",IFERROR($C130*$K130/$L130,0),$M130))))</f>
        <v/>
      </c>
      <c r="O130" s="9" t="n"/>
      <c r="P130" s="9">
        <f>IF($E130="","",SUMIFS('AYLIK KESİNTİLER'!$E$2:$E$5000,'AYLIK KESİNTİLER'!$A$2:$A$5000,$A130,'AYLIK KESİNTİLER'!$B$2:$B$5000,$E130))</f>
        <v/>
      </c>
      <c r="Q130" s="9">
        <f>IF($E130="","",$O130+$P130)</f>
        <v/>
      </c>
      <c r="R130" s="9">
        <f>IF($E130="","",$I130-$Q130)</f>
        <v/>
      </c>
      <c r="S130" s="12">
        <f>IF($E130="","",IF($R130&lt;=0,"KAPANDI",IF(COUNTIFS($A$2:$A$300,$A130,$F$2:$F$300,"&lt;"&amp;$F130,$R$2:$R$300,"&gt;0")=0,"ÖDEMEDE","SIRADA")))</f>
        <v/>
      </c>
      <c r="T130" s="7" t="n"/>
      <c r="U130" s="7" t="n"/>
      <c r="V130">
        <f>IF($E130="","",$A130&amp;"|"&amp;$S130)</f>
        <v/>
      </c>
    </row>
    <row r="131">
      <c r="A131" s="7" t="n"/>
      <c r="B131" s="8">
        <f>IF($A131="","",IFERROR(VLOOKUP($A131,PERSONEL!$A$2:$C$300,2,0),""))</f>
        <v/>
      </c>
      <c r="C131" s="9">
        <f>IF($A131="","",IFERROR(VLOOKUP($A131,PERSONEL!$A$2:$C$300,3,0),""))</f>
        <v/>
      </c>
      <c r="D131" s="10" t="n"/>
      <c r="E131" s="7" t="n"/>
      <c r="F131" s="7" t="n"/>
      <c r="G131" s="7" t="n"/>
      <c r="H131" s="7" t="n"/>
      <c r="I131" s="9" t="n"/>
      <c r="J131" s="7" t="n"/>
      <c r="K131" s="7" t="n"/>
      <c r="L131" s="7" t="n"/>
      <c r="M131" s="9" t="n"/>
      <c r="N131" s="9">
        <f>IF($E131="","",IF($S131&lt;&gt;"ÖDEMEDE",0,MIN($R131,IF($J131="Oran",IFERROR($C131*$K131/$L131,0),$M131))))</f>
        <v/>
      </c>
      <c r="O131" s="9" t="n"/>
      <c r="P131" s="9">
        <f>IF($E131="","",SUMIFS('AYLIK KESİNTİLER'!$E$2:$E$5000,'AYLIK KESİNTİLER'!$A$2:$A$5000,$A131,'AYLIK KESİNTİLER'!$B$2:$B$5000,$E131))</f>
        <v/>
      </c>
      <c r="Q131" s="9">
        <f>IF($E131="","",$O131+$P131)</f>
        <v/>
      </c>
      <c r="R131" s="9">
        <f>IF($E131="","",$I131-$Q131)</f>
        <v/>
      </c>
      <c r="S131" s="12">
        <f>IF($E131="","",IF($R131&lt;=0,"KAPANDI",IF(COUNTIFS($A$2:$A$300,$A131,$F$2:$F$300,"&lt;"&amp;$F131,$R$2:$R$300,"&gt;0")=0,"ÖDEMEDE","SIRADA")))</f>
        <v/>
      </c>
      <c r="T131" s="7" t="n"/>
      <c r="U131" s="7" t="n"/>
      <c r="V131">
        <f>IF($E131="","",$A131&amp;"|"&amp;$S131)</f>
        <v/>
      </c>
    </row>
    <row r="132">
      <c r="A132" s="7" t="n"/>
      <c r="B132" s="8">
        <f>IF($A132="","",IFERROR(VLOOKUP($A132,PERSONEL!$A$2:$C$300,2,0),""))</f>
        <v/>
      </c>
      <c r="C132" s="9">
        <f>IF($A132="","",IFERROR(VLOOKUP($A132,PERSONEL!$A$2:$C$300,3,0),""))</f>
        <v/>
      </c>
      <c r="D132" s="10" t="n"/>
      <c r="E132" s="7" t="n"/>
      <c r="F132" s="7" t="n"/>
      <c r="G132" s="7" t="n"/>
      <c r="H132" s="7" t="n"/>
      <c r="I132" s="9" t="n"/>
      <c r="J132" s="7" t="n"/>
      <c r="K132" s="7" t="n"/>
      <c r="L132" s="7" t="n"/>
      <c r="M132" s="9" t="n"/>
      <c r="N132" s="9">
        <f>IF($E132="","",IF($S132&lt;&gt;"ÖDEMEDE",0,MIN($R132,IF($J132="Oran",IFERROR($C132*$K132/$L132,0),$M132))))</f>
        <v/>
      </c>
      <c r="O132" s="9" t="n"/>
      <c r="P132" s="9">
        <f>IF($E132="","",SUMIFS('AYLIK KESİNTİLER'!$E$2:$E$5000,'AYLIK KESİNTİLER'!$A$2:$A$5000,$A132,'AYLIK KESİNTİLER'!$B$2:$B$5000,$E132))</f>
        <v/>
      </c>
      <c r="Q132" s="9">
        <f>IF($E132="","",$O132+$P132)</f>
        <v/>
      </c>
      <c r="R132" s="9">
        <f>IF($E132="","",$I132-$Q132)</f>
        <v/>
      </c>
      <c r="S132" s="12">
        <f>IF($E132="","",IF($R132&lt;=0,"KAPANDI",IF(COUNTIFS($A$2:$A$300,$A132,$F$2:$F$300,"&lt;"&amp;$F132,$R$2:$R$300,"&gt;0")=0,"ÖDEMEDE","SIRADA")))</f>
        <v/>
      </c>
      <c r="T132" s="7" t="n"/>
      <c r="U132" s="7" t="n"/>
      <c r="V132">
        <f>IF($E132="","",$A132&amp;"|"&amp;$S132)</f>
        <v/>
      </c>
    </row>
    <row r="133">
      <c r="A133" s="7" t="n"/>
      <c r="B133" s="8">
        <f>IF($A133="","",IFERROR(VLOOKUP($A133,PERSONEL!$A$2:$C$300,2,0),""))</f>
        <v/>
      </c>
      <c r="C133" s="9">
        <f>IF($A133="","",IFERROR(VLOOKUP($A133,PERSONEL!$A$2:$C$300,3,0),""))</f>
        <v/>
      </c>
      <c r="D133" s="10" t="n"/>
      <c r="E133" s="7" t="n"/>
      <c r="F133" s="7" t="n"/>
      <c r="G133" s="7" t="n"/>
      <c r="H133" s="7" t="n"/>
      <c r="I133" s="9" t="n"/>
      <c r="J133" s="7" t="n"/>
      <c r="K133" s="7" t="n"/>
      <c r="L133" s="7" t="n"/>
      <c r="M133" s="9" t="n"/>
      <c r="N133" s="9">
        <f>IF($E133="","",IF($S133&lt;&gt;"ÖDEMEDE",0,MIN($R133,IF($J133="Oran",IFERROR($C133*$K133/$L133,0),$M133))))</f>
        <v/>
      </c>
      <c r="O133" s="9" t="n"/>
      <c r="P133" s="9">
        <f>IF($E133="","",SUMIFS('AYLIK KESİNTİLER'!$E$2:$E$5000,'AYLIK KESİNTİLER'!$A$2:$A$5000,$A133,'AYLIK KESİNTİLER'!$B$2:$B$5000,$E133))</f>
        <v/>
      </c>
      <c r="Q133" s="9">
        <f>IF($E133="","",$O133+$P133)</f>
        <v/>
      </c>
      <c r="R133" s="9">
        <f>IF($E133="","",$I133-$Q133)</f>
        <v/>
      </c>
      <c r="S133" s="12">
        <f>IF($E133="","",IF($R133&lt;=0,"KAPANDI",IF(COUNTIFS($A$2:$A$300,$A133,$F$2:$F$300,"&lt;"&amp;$F133,$R$2:$R$300,"&gt;0")=0,"ÖDEMEDE","SIRADA")))</f>
        <v/>
      </c>
      <c r="T133" s="7" t="n"/>
      <c r="U133" s="7" t="n"/>
      <c r="V133">
        <f>IF($E133="","",$A133&amp;"|"&amp;$S133)</f>
        <v/>
      </c>
    </row>
    <row r="134">
      <c r="A134" s="7" t="n"/>
      <c r="B134" s="8">
        <f>IF($A134="","",IFERROR(VLOOKUP($A134,PERSONEL!$A$2:$C$300,2,0),""))</f>
        <v/>
      </c>
      <c r="C134" s="9">
        <f>IF($A134="","",IFERROR(VLOOKUP($A134,PERSONEL!$A$2:$C$300,3,0),""))</f>
        <v/>
      </c>
      <c r="D134" s="10" t="n"/>
      <c r="E134" s="7" t="n"/>
      <c r="F134" s="7" t="n"/>
      <c r="G134" s="7" t="n"/>
      <c r="H134" s="7" t="n"/>
      <c r="I134" s="9" t="n"/>
      <c r="J134" s="7" t="n"/>
      <c r="K134" s="7" t="n"/>
      <c r="L134" s="7" t="n"/>
      <c r="M134" s="9" t="n"/>
      <c r="N134" s="9">
        <f>IF($E134="","",IF($S134&lt;&gt;"ÖDEMEDE",0,MIN($R134,IF($J134="Oran",IFERROR($C134*$K134/$L134,0),$M134))))</f>
        <v/>
      </c>
      <c r="O134" s="9" t="n"/>
      <c r="P134" s="9">
        <f>IF($E134="","",SUMIFS('AYLIK KESİNTİLER'!$E$2:$E$5000,'AYLIK KESİNTİLER'!$A$2:$A$5000,$A134,'AYLIK KESİNTİLER'!$B$2:$B$5000,$E134))</f>
        <v/>
      </c>
      <c r="Q134" s="9">
        <f>IF($E134="","",$O134+$P134)</f>
        <v/>
      </c>
      <c r="R134" s="9">
        <f>IF($E134="","",$I134-$Q134)</f>
        <v/>
      </c>
      <c r="S134" s="12">
        <f>IF($E134="","",IF($R134&lt;=0,"KAPANDI",IF(COUNTIFS($A$2:$A$300,$A134,$F$2:$F$300,"&lt;"&amp;$F134,$R$2:$R$300,"&gt;0")=0,"ÖDEMEDE","SIRADA")))</f>
        <v/>
      </c>
      <c r="T134" s="7" t="n"/>
      <c r="U134" s="7" t="n"/>
      <c r="V134">
        <f>IF($E134="","",$A134&amp;"|"&amp;$S134)</f>
        <v/>
      </c>
    </row>
    <row r="135">
      <c r="A135" s="7" t="n"/>
      <c r="B135" s="8">
        <f>IF($A135="","",IFERROR(VLOOKUP($A135,PERSONEL!$A$2:$C$300,2,0),""))</f>
        <v/>
      </c>
      <c r="C135" s="9">
        <f>IF($A135="","",IFERROR(VLOOKUP($A135,PERSONEL!$A$2:$C$300,3,0),""))</f>
        <v/>
      </c>
      <c r="D135" s="10" t="n"/>
      <c r="E135" s="7" t="n"/>
      <c r="F135" s="7" t="n"/>
      <c r="G135" s="7" t="n"/>
      <c r="H135" s="7" t="n"/>
      <c r="I135" s="9" t="n"/>
      <c r="J135" s="7" t="n"/>
      <c r="K135" s="7" t="n"/>
      <c r="L135" s="7" t="n"/>
      <c r="M135" s="9" t="n"/>
      <c r="N135" s="9">
        <f>IF($E135="","",IF($S135&lt;&gt;"ÖDEMEDE",0,MIN($R135,IF($J135="Oran",IFERROR($C135*$K135/$L135,0),$M135))))</f>
        <v/>
      </c>
      <c r="O135" s="9" t="n"/>
      <c r="P135" s="9">
        <f>IF($E135="","",SUMIFS('AYLIK KESİNTİLER'!$E$2:$E$5000,'AYLIK KESİNTİLER'!$A$2:$A$5000,$A135,'AYLIK KESİNTİLER'!$B$2:$B$5000,$E135))</f>
        <v/>
      </c>
      <c r="Q135" s="9">
        <f>IF($E135="","",$O135+$P135)</f>
        <v/>
      </c>
      <c r="R135" s="9">
        <f>IF($E135="","",$I135-$Q135)</f>
        <v/>
      </c>
      <c r="S135" s="12">
        <f>IF($E135="","",IF($R135&lt;=0,"KAPANDI",IF(COUNTIFS($A$2:$A$300,$A135,$F$2:$F$300,"&lt;"&amp;$F135,$R$2:$R$300,"&gt;0")=0,"ÖDEMEDE","SIRADA")))</f>
        <v/>
      </c>
      <c r="T135" s="7" t="n"/>
      <c r="U135" s="7" t="n"/>
      <c r="V135">
        <f>IF($E135="","",$A135&amp;"|"&amp;$S135)</f>
        <v/>
      </c>
    </row>
    <row r="136">
      <c r="A136" s="7" t="n"/>
      <c r="B136" s="8">
        <f>IF($A136="","",IFERROR(VLOOKUP($A136,PERSONEL!$A$2:$C$300,2,0),""))</f>
        <v/>
      </c>
      <c r="C136" s="9">
        <f>IF($A136="","",IFERROR(VLOOKUP($A136,PERSONEL!$A$2:$C$300,3,0),""))</f>
        <v/>
      </c>
      <c r="D136" s="10" t="n"/>
      <c r="E136" s="7" t="n"/>
      <c r="F136" s="7" t="n"/>
      <c r="G136" s="7" t="n"/>
      <c r="H136" s="7" t="n"/>
      <c r="I136" s="9" t="n"/>
      <c r="J136" s="7" t="n"/>
      <c r="K136" s="7" t="n"/>
      <c r="L136" s="7" t="n"/>
      <c r="M136" s="9" t="n"/>
      <c r="N136" s="9">
        <f>IF($E136="","",IF($S136&lt;&gt;"ÖDEMEDE",0,MIN($R136,IF($J136="Oran",IFERROR($C136*$K136/$L136,0),$M136))))</f>
        <v/>
      </c>
      <c r="O136" s="9" t="n"/>
      <c r="P136" s="9">
        <f>IF($E136="","",SUMIFS('AYLIK KESİNTİLER'!$E$2:$E$5000,'AYLIK KESİNTİLER'!$A$2:$A$5000,$A136,'AYLIK KESİNTİLER'!$B$2:$B$5000,$E136))</f>
        <v/>
      </c>
      <c r="Q136" s="9">
        <f>IF($E136="","",$O136+$P136)</f>
        <v/>
      </c>
      <c r="R136" s="9">
        <f>IF($E136="","",$I136-$Q136)</f>
        <v/>
      </c>
      <c r="S136" s="12">
        <f>IF($E136="","",IF($R136&lt;=0,"KAPANDI",IF(COUNTIFS($A$2:$A$300,$A136,$F$2:$F$300,"&lt;"&amp;$F136,$R$2:$R$300,"&gt;0")=0,"ÖDEMEDE","SIRADA")))</f>
        <v/>
      </c>
      <c r="T136" s="7" t="n"/>
      <c r="U136" s="7" t="n"/>
      <c r="V136">
        <f>IF($E136="","",$A136&amp;"|"&amp;$S136)</f>
        <v/>
      </c>
    </row>
    <row r="137">
      <c r="A137" s="7" t="n"/>
      <c r="B137" s="8">
        <f>IF($A137="","",IFERROR(VLOOKUP($A137,PERSONEL!$A$2:$C$300,2,0),""))</f>
        <v/>
      </c>
      <c r="C137" s="9">
        <f>IF($A137="","",IFERROR(VLOOKUP($A137,PERSONEL!$A$2:$C$300,3,0),""))</f>
        <v/>
      </c>
      <c r="D137" s="10" t="n"/>
      <c r="E137" s="7" t="n"/>
      <c r="F137" s="7" t="n"/>
      <c r="G137" s="7" t="n"/>
      <c r="H137" s="7" t="n"/>
      <c r="I137" s="9" t="n"/>
      <c r="J137" s="7" t="n"/>
      <c r="K137" s="7" t="n"/>
      <c r="L137" s="7" t="n"/>
      <c r="M137" s="9" t="n"/>
      <c r="N137" s="9">
        <f>IF($E137="","",IF($S137&lt;&gt;"ÖDEMEDE",0,MIN($R137,IF($J137="Oran",IFERROR($C137*$K137/$L137,0),$M137))))</f>
        <v/>
      </c>
      <c r="O137" s="9" t="n"/>
      <c r="P137" s="9">
        <f>IF($E137="","",SUMIFS('AYLIK KESİNTİLER'!$E$2:$E$5000,'AYLIK KESİNTİLER'!$A$2:$A$5000,$A137,'AYLIK KESİNTİLER'!$B$2:$B$5000,$E137))</f>
        <v/>
      </c>
      <c r="Q137" s="9">
        <f>IF($E137="","",$O137+$P137)</f>
        <v/>
      </c>
      <c r="R137" s="9">
        <f>IF($E137="","",$I137-$Q137)</f>
        <v/>
      </c>
      <c r="S137" s="12">
        <f>IF($E137="","",IF($R137&lt;=0,"KAPANDI",IF(COUNTIFS($A$2:$A$300,$A137,$F$2:$F$300,"&lt;"&amp;$F137,$R$2:$R$300,"&gt;0")=0,"ÖDEMEDE","SIRADA")))</f>
        <v/>
      </c>
      <c r="T137" s="7" t="n"/>
      <c r="U137" s="7" t="n"/>
      <c r="V137">
        <f>IF($E137="","",$A137&amp;"|"&amp;$S137)</f>
        <v/>
      </c>
    </row>
    <row r="138">
      <c r="A138" s="7" t="n"/>
      <c r="B138" s="8">
        <f>IF($A138="","",IFERROR(VLOOKUP($A138,PERSONEL!$A$2:$C$300,2,0),""))</f>
        <v/>
      </c>
      <c r="C138" s="9">
        <f>IF($A138="","",IFERROR(VLOOKUP($A138,PERSONEL!$A$2:$C$300,3,0),""))</f>
        <v/>
      </c>
      <c r="D138" s="10" t="n"/>
      <c r="E138" s="7" t="n"/>
      <c r="F138" s="7" t="n"/>
      <c r="G138" s="7" t="n"/>
      <c r="H138" s="7" t="n"/>
      <c r="I138" s="9" t="n"/>
      <c r="J138" s="7" t="n"/>
      <c r="K138" s="7" t="n"/>
      <c r="L138" s="7" t="n"/>
      <c r="M138" s="9" t="n"/>
      <c r="N138" s="9">
        <f>IF($E138="","",IF($S138&lt;&gt;"ÖDEMEDE",0,MIN($R138,IF($J138="Oran",IFERROR($C138*$K138/$L138,0),$M138))))</f>
        <v/>
      </c>
      <c r="O138" s="9" t="n"/>
      <c r="P138" s="9">
        <f>IF($E138="","",SUMIFS('AYLIK KESİNTİLER'!$E$2:$E$5000,'AYLIK KESİNTİLER'!$A$2:$A$5000,$A138,'AYLIK KESİNTİLER'!$B$2:$B$5000,$E138))</f>
        <v/>
      </c>
      <c r="Q138" s="9">
        <f>IF($E138="","",$O138+$P138)</f>
        <v/>
      </c>
      <c r="R138" s="9">
        <f>IF($E138="","",$I138-$Q138)</f>
        <v/>
      </c>
      <c r="S138" s="12">
        <f>IF($E138="","",IF($R138&lt;=0,"KAPANDI",IF(COUNTIFS($A$2:$A$300,$A138,$F$2:$F$300,"&lt;"&amp;$F138,$R$2:$R$300,"&gt;0")=0,"ÖDEMEDE","SIRADA")))</f>
        <v/>
      </c>
      <c r="T138" s="7" t="n"/>
      <c r="U138" s="7" t="n"/>
      <c r="V138">
        <f>IF($E138="","",$A138&amp;"|"&amp;$S138)</f>
        <v/>
      </c>
    </row>
    <row r="139">
      <c r="A139" s="7" t="n"/>
      <c r="B139" s="8">
        <f>IF($A139="","",IFERROR(VLOOKUP($A139,PERSONEL!$A$2:$C$300,2,0),""))</f>
        <v/>
      </c>
      <c r="C139" s="9">
        <f>IF($A139="","",IFERROR(VLOOKUP($A139,PERSONEL!$A$2:$C$300,3,0),""))</f>
        <v/>
      </c>
      <c r="D139" s="10" t="n"/>
      <c r="E139" s="7" t="n"/>
      <c r="F139" s="7" t="n"/>
      <c r="G139" s="7" t="n"/>
      <c r="H139" s="7" t="n"/>
      <c r="I139" s="9" t="n"/>
      <c r="J139" s="7" t="n"/>
      <c r="K139" s="7" t="n"/>
      <c r="L139" s="7" t="n"/>
      <c r="M139" s="9" t="n"/>
      <c r="N139" s="9">
        <f>IF($E139="","",IF($S139&lt;&gt;"ÖDEMEDE",0,MIN($R139,IF($J139="Oran",IFERROR($C139*$K139/$L139,0),$M139))))</f>
        <v/>
      </c>
      <c r="O139" s="9" t="n"/>
      <c r="P139" s="9">
        <f>IF($E139="","",SUMIFS('AYLIK KESİNTİLER'!$E$2:$E$5000,'AYLIK KESİNTİLER'!$A$2:$A$5000,$A139,'AYLIK KESİNTİLER'!$B$2:$B$5000,$E139))</f>
        <v/>
      </c>
      <c r="Q139" s="9">
        <f>IF($E139="","",$O139+$P139)</f>
        <v/>
      </c>
      <c r="R139" s="9">
        <f>IF($E139="","",$I139-$Q139)</f>
        <v/>
      </c>
      <c r="S139" s="12">
        <f>IF($E139="","",IF($R139&lt;=0,"KAPANDI",IF(COUNTIFS($A$2:$A$300,$A139,$F$2:$F$300,"&lt;"&amp;$F139,$R$2:$R$300,"&gt;0")=0,"ÖDEMEDE","SIRADA")))</f>
        <v/>
      </c>
      <c r="T139" s="7" t="n"/>
      <c r="U139" s="7" t="n"/>
      <c r="V139">
        <f>IF($E139="","",$A139&amp;"|"&amp;$S139)</f>
        <v/>
      </c>
    </row>
    <row r="140">
      <c r="A140" s="7" t="n"/>
      <c r="B140" s="8">
        <f>IF($A140="","",IFERROR(VLOOKUP($A140,PERSONEL!$A$2:$C$300,2,0),""))</f>
        <v/>
      </c>
      <c r="C140" s="9">
        <f>IF($A140="","",IFERROR(VLOOKUP($A140,PERSONEL!$A$2:$C$300,3,0),""))</f>
        <v/>
      </c>
      <c r="D140" s="10" t="n"/>
      <c r="E140" s="7" t="n"/>
      <c r="F140" s="7" t="n"/>
      <c r="G140" s="7" t="n"/>
      <c r="H140" s="7" t="n"/>
      <c r="I140" s="9" t="n"/>
      <c r="J140" s="7" t="n"/>
      <c r="K140" s="7" t="n"/>
      <c r="L140" s="7" t="n"/>
      <c r="M140" s="9" t="n"/>
      <c r="N140" s="9">
        <f>IF($E140="","",IF($S140&lt;&gt;"ÖDEMEDE",0,MIN($R140,IF($J140="Oran",IFERROR($C140*$K140/$L140,0),$M140))))</f>
        <v/>
      </c>
      <c r="O140" s="9" t="n"/>
      <c r="P140" s="9">
        <f>IF($E140="","",SUMIFS('AYLIK KESİNTİLER'!$E$2:$E$5000,'AYLIK KESİNTİLER'!$A$2:$A$5000,$A140,'AYLIK KESİNTİLER'!$B$2:$B$5000,$E140))</f>
        <v/>
      </c>
      <c r="Q140" s="9">
        <f>IF($E140="","",$O140+$P140)</f>
        <v/>
      </c>
      <c r="R140" s="9">
        <f>IF($E140="","",$I140-$Q140)</f>
        <v/>
      </c>
      <c r="S140" s="12">
        <f>IF($E140="","",IF($R140&lt;=0,"KAPANDI",IF(COUNTIFS($A$2:$A$300,$A140,$F$2:$F$300,"&lt;"&amp;$F140,$R$2:$R$300,"&gt;0")=0,"ÖDEMEDE","SIRADA")))</f>
        <v/>
      </c>
      <c r="T140" s="7" t="n"/>
      <c r="U140" s="7" t="n"/>
      <c r="V140">
        <f>IF($E140="","",$A140&amp;"|"&amp;$S140)</f>
        <v/>
      </c>
    </row>
    <row r="141">
      <c r="A141" s="7" t="n"/>
      <c r="B141" s="8">
        <f>IF($A141="","",IFERROR(VLOOKUP($A141,PERSONEL!$A$2:$C$300,2,0),""))</f>
        <v/>
      </c>
      <c r="C141" s="9">
        <f>IF($A141="","",IFERROR(VLOOKUP($A141,PERSONEL!$A$2:$C$300,3,0),""))</f>
        <v/>
      </c>
      <c r="D141" s="10" t="n"/>
      <c r="E141" s="7" t="n"/>
      <c r="F141" s="7" t="n"/>
      <c r="G141" s="7" t="n"/>
      <c r="H141" s="7" t="n"/>
      <c r="I141" s="9" t="n"/>
      <c r="J141" s="7" t="n"/>
      <c r="K141" s="7" t="n"/>
      <c r="L141" s="7" t="n"/>
      <c r="M141" s="9" t="n"/>
      <c r="N141" s="9">
        <f>IF($E141="","",IF($S141&lt;&gt;"ÖDEMEDE",0,MIN($R141,IF($J141="Oran",IFERROR($C141*$K141/$L141,0),$M141))))</f>
        <v/>
      </c>
      <c r="O141" s="9" t="n"/>
      <c r="P141" s="9">
        <f>IF($E141="","",SUMIFS('AYLIK KESİNTİLER'!$E$2:$E$5000,'AYLIK KESİNTİLER'!$A$2:$A$5000,$A141,'AYLIK KESİNTİLER'!$B$2:$B$5000,$E141))</f>
        <v/>
      </c>
      <c r="Q141" s="9">
        <f>IF($E141="","",$O141+$P141)</f>
        <v/>
      </c>
      <c r="R141" s="9">
        <f>IF($E141="","",$I141-$Q141)</f>
        <v/>
      </c>
      <c r="S141" s="12">
        <f>IF($E141="","",IF($R141&lt;=0,"KAPANDI",IF(COUNTIFS($A$2:$A$300,$A141,$F$2:$F$300,"&lt;"&amp;$F141,$R$2:$R$300,"&gt;0")=0,"ÖDEMEDE","SIRADA")))</f>
        <v/>
      </c>
      <c r="T141" s="7" t="n"/>
      <c r="U141" s="7" t="n"/>
      <c r="V141">
        <f>IF($E141="","",$A141&amp;"|"&amp;$S141)</f>
        <v/>
      </c>
    </row>
    <row r="142">
      <c r="A142" s="7" t="n"/>
      <c r="B142" s="8">
        <f>IF($A142="","",IFERROR(VLOOKUP($A142,PERSONEL!$A$2:$C$300,2,0),""))</f>
        <v/>
      </c>
      <c r="C142" s="9">
        <f>IF($A142="","",IFERROR(VLOOKUP($A142,PERSONEL!$A$2:$C$300,3,0),""))</f>
        <v/>
      </c>
      <c r="D142" s="10" t="n"/>
      <c r="E142" s="7" t="n"/>
      <c r="F142" s="7" t="n"/>
      <c r="G142" s="7" t="n"/>
      <c r="H142" s="7" t="n"/>
      <c r="I142" s="9" t="n"/>
      <c r="J142" s="7" t="n"/>
      <c r="K142" s="7" t="n"/>
      <c r="L142" s="7" t="n"/>
      <c r="M142" s="9" t="n"/>
      <c r="N142" s="9">
        <f>IF($E142="","",IF($S142&lt;&gt;"ÖDEMEDE",0,MIN($R142,IF($J142="Oran",IFERROR($C142*$K142/$L142,0),$M142))))</f>
        <v/>
      </c>
      <c r="O142" s="9" t="n"/>
      <c r="P142" s="9">
        <f>IF($E142="","",SUMIFS('AYLIK KESİNTİLER'!$E$2:$E$5000,'AYLIK KESİNTİLER'!$A$2:$A$5000,$A142,'AYLIK KESİNTİLER'!$B$2:$B$5000,$E142))</f>
        <v/>
      </c>
      <c r="Q142" s="9">
        <f>IF($E142="","",$O142+$P142)</f>
        <v/>
      </c>
      <c r="R142" s="9">
        <f>IF($E142="","",$I142-$Q142)</f>
        <v/>
      </c>
      <c r="S142" s="12">
        <f>IF($E142="","",IF($R142&lt;=0,"KAPANDI",IF(COUNTIFS($A$2:$A$300,$A142,$F$2:$F$300,"&lt;"&amp;$F142,$R$2:$R$300,"&gt;0")=0,"ÖDEMEDE","SIRADA")))</f>
        <v/>
      </c>
      <c r="T142" s="7" t="n"/>
      <c r="U142" s="7" t="n"/>
      <c r="V142">
        <f>IF($E142="","",$A142&amp;"|"&amp;$S142)</f>
        <v/>
      </c>
    </row>
    <row r="143">
      <c r="A143" s="7" t="n"/>
      <c r="B143" s="8">
        <f>IF($A143="","",IFERROR(VLOOKUP($A143,PERSONEL!$A$2:$C$300,2,0),""))</f>
        <v/>
      </c>
      <c r="C143" s="9">
        <f>IF($A143="","",IFERROR(VLOOKUP($A143,PERSONEL!$A$2:$C$300,3,0),""))</f>
        <v/>
      </c>
      <c r="D143" s="10" t="n"/>
      <c r="E143" s="7" t="n"/>
      <c r="F143" s="7" t="n"/>
      <c r="G143" s="7" t="n"/>
      <c r="H143" s="7" t="n"/>
      <c r="I143" s="9" t="n"/>
      <c r="J143" s="7" t="n"/>
      <c r="K143" s="7" t="n"/>
      <c r="L143" s="7" t="n"/>
      <c r="M143" s="9" t="n"/>
      <c r="N143" s="9">
        <f>IF($E143="","",IF($S143&lt;&gt;"ÖDEMEDE",0,MIN($R143,IF($J143="Oran",IFERROR($C143*$K143/$L143,0),$M143))))</f>
        <v/>
      </c>
      <c r="O143" s="9" t="n"/>
      <c r="P143" s="9">
        <f>IF($E143="","",SUMIFS('AYLIK KESİNTİLER'!$E$2:$E$5000,'AYLIK KESİNTİLER'!$A$2:$A$5000,$A143,'AYLIK KESİNTİLER'!$B$2:$B$5000,$E143))</f>
        <v/>
      </c>
      <c r="Q143" s="9">
        <f>IF($E143="","",$O143+$P143)</f>
        <v/>
      </c>
      <c r="R143" s="9">
        <f>IF($E143="","",$I143-$Q143)</f>
        <v/>
      </c>
      <c r="S143" s="12">
        <f>IF($E143="","",IF($R143&lt;=0,"KAPANDI",IF(COUNTIFS($A$2:$A$300,$A143,$F$2:$F$300,"&lt;"&amp;$F143,$R$2:$R$300,"&gt;0")=0,"ÖDEMEDE","SIRADA")))</f>
        <v/>
      </c>
      <c r="T143" s="7" t="n"/>
      <c r="U143" s="7" t="n"/>
      <c r="V143">
        <f>IF($E143="","",$A143&amp;"|"&amp;$S143)</f>
        <v/>
      </c>
    </row>
    <row r="144">
      <c r="A144" s="7" t="n"/>
      <c r="B144" s="8">
        <f>IF($A144="","",IFERROR(VLOOKUP($A144,PERSONEL!$A$2:$C$300,2,0),""))</f>
        <v/>
      </c>
      <c r="C144" s="9">
        <f>IF($A144="","",IFERROR(VLOOKUP($A144,PERSONEL!$A$2:$C$300,3,0),""))</f>
        <v/>
      </c>
      <c r="D144" s="10" t="n"/>
      <c r="E144" s="7" t="n"/>
      <c r="F144" s="7" t="n"/>
      <c r="G144" s="7" t="n"/>
      <c r="H144" s="7" t="n"/>
      <c r="I144" s="9" t="n"/>
      <c r="J144" s="7" t="n"/>
      <c r="K144" s="7" t="n"/>
      <c r="L144" s="7" t="n"/>
      <c r="M144" s="9" t="n"/>
      <c r="N144" s="9">
        <f>IF($E144="","",IF($S144&lt;&gt;"ÖDEMEDE",0,MIN($R144,IF($J144="Oran",IFERROR($C144*$K144/$L144,0),$M144))))</f>
        <v/>
      </c>
      <c r="O144" s="9" t="n"/>
      <c r="P144" s="9">
        <f>IF($E144="","",SUMIFS('AYLIK KESİNTİLER'!$E$2:$E$5000,'AYLIK KESİNTİLER'!$A$2:$A$5000,$A144,'AYLIK KESİNTİLER'!$B$2:$B$5000,$E144))</f>
        <v/>
      </c>
      <c r="Q144" s="9">
        <f>IF($E144="","",$O144+$P144)</f>
        <v/>
      </c>
      <c r="R144" s="9">
        <f>IF($E144="","",$I144-$Q144)</f>
        <v/>
      </c>
      <c r="S144" s="12">
        <f>IF($E144="","",IF($R144&lt;=0,"KAPANDI",IF(COUNTIFS($A$2:$A$300,$A144,$F$2:$F$300,"&lt;"&amp;$F144,$R$2:$R$300,"&gt;0")=0,"ÖDEMEDE","SIRADA")))</f>
        <v/>
      </c>
      <c r="T144" s="7" t="n"/>
      <c r="U144" s="7" t="n"/>
      <c r="V144">
        <f>IF($E144="","",$A144&amp;"|"&amp;$S144)</f>
        <v/>
      </c>
    </row>
    <row r="145">
      <c r="A145" s="7" t="n"/>
      <c r="B145" s="8">
        <f>IF($A145="","",IFERROR(VLOOKUP($A145,PERSONEL!$A$2:$C$300,2,0),""))</f>
        <v/>
      </c>
      <c r="C145" s="9">
        <f>IF($A145="","",IFERROR(VLOOKUP($A145,PERSONEL!$A$2:$C$300,3,0),""))</f>
        <v/>
      </c>
      <c r="D145" s="10" t="n"/>
      <c r="E145" s="7" t="n"/>
      <c r="F145" s="7" t="n"/>
      <c r="G145" s="7" t="n"/>
      <c r="H145" s="7" t="n"/>
      <c r="I145" s="9" t="n"/>
      <c r="J145" s="7" t="n"/>
      <c r="K145" s="7" t="n"/>
      <c r="L145" s="7" t="n"/>
      <c r="M145" s="9" t="n"/>
      <c r="N145" s="9">
        <f>IF($E145="","",IF($S145&lt;&gt;"ÖDEMEDE",0,MIN($R145,IF($J145="Oran",IFERROR($C145*$K145/$L145,0),$M145))))</f>
        <v/>
      </c>
      <c r="O145" s="9" t="n"/>
      <c r="P145" s="9">
        <f>IF($E145="","",SUMIFS('AYLIK KESİNTİLER'!$E$2:$E$5000,'AYLIK KESİNTİLER'!$A$2:$A$5000,$A145,'AYLIK KESİNTİLER'!$B$2:$B$5000,$E145))</f>
        <v/>
      </c>
      <c r="Q145" s="9">
        <f>IF($E145="","",$O145+$P145)</f>
        <v/>
      </c>
      <c r="R145" s="9">
        <f>IF($E145="","",$I145-$Q145)</f>
        <v/>
      </c>
      <c r="S145" s="12">
        <f>IF($E145="","",IF($R145&lt;=0,"KAPANDI",IF(COUNTIFS($A$2:$A$300,$A145,$F$2:$F$300,"&lt;"&amp;$F145,$R$2:$R$300,"&gt;0")=0,"ÖDEMEDE","SIRADA")))</f>
        <v/>
      </c>
      <c r="T145" s="7" t="n"/>
      <c r="U145" s="7" t="n"/>
      <c r="V145">
        <f>IF($E145="","",$A145&amp;"|"&amp;$S145)</f>
        <v/>
      </c>
    </row>
    <row r="146">
      <c r="A146" s="7" t="n"/>
      <c r="B146" s="8">
        <f>IF($A146="","",IFERROR(VLOOKUP($A146,PERSONEL!$A$2:$C$300,2,0),""))</f>
        <v/>
      </c>
      <c r="C146" s="9">
        <f>IF($A146="","",IFERROR(VLOOKUP($A146,PERSONEL!$A$2:$C$300,3,0),""))</f>
        <v/>
      </c>
      <c r="D146" s="10" t="n"/>
      <c r="E146" s="7" t="n"/>
      <c r="F146" s="7" t="n"/>
      <c r="G146" s="7" t="n"/>
      <c r="H146" s="7" t="n"/>
      <c r="I146" s="9" t="n"/>
      <c r="J146" s="7" t="n"/>
      <c r="K146" s="7" t="n"/>
      <c r="L146" s="7" t="n"/>
      <c r="M146" s="9" t="n"/>
      <c r="N146" s="9">
        <f>IF($E146="","",IF($S146&lt;&gt;"ÖDEMEDE",0,MIN($R146,IF($J146="Oran",IFERROR($C146*$K146/$L146,0),$M146))))</f>
        <v/>
      </c>
      <c r="O146" s="9" t="n"/>
      <c r="P146" s="9">
        <f>IF($E146="","",SUMIFS('AYLIK KESİNTİLER'!$E$2:$E$5000,'AYLIK KESİNTİLER'!$A$2:$A$5000,$A146,'AYLIK KESİNTİLER'!$B$2:$B$5000,$E146))</f>
        <v/>
      </c>
      <c r="Q146" s="9">
        <f>IF($E146="","",$O146+$P146)</f>
        <v/>
      </c>
      <c r="R146" s="9">
        <f>IF($E146="","",$I146-$Q146)</f>
        <v/>
      </c>
      <c r="S146" s="12">
        <f>IF($E146="","",IF($R146&lt;=0,"KAPANDI",IF(COUNTIFS($A$2:$A$300,$A146,$F$2:$F$300,"&lt;"&amp;$F146,$R$2:$R$300,"&gt;0")=0,"ÖDEMEDE","SIRADA")))</f>
        <v/>
      </c>
      <c r="T146" s="7" t="n"/>
      <c r="U146" s="7" t="n"/>
      <c r="V146">
        <f>IF($E146="","",$A146&amp;"|"&amp;$S146)</f>
        <v/>
      </c>
    </row>
    <row r="147">
      <c r="A147" s="7" t="n"/>
      <c r="B147" s="8">
        <f>IF($A147="","",IFERROR(VLOOKUP($A147,PERSONEL!$A$2:$C$300,2,0),""))</f>
        <v/>
      </c>
      <c r="C147" s="9">
        <f>IF($A147="","",IFERROR(VLOOKUP($A147,PERSONEL!$A$2:$C$300,3,0),""))</f>
        <v/>
      </c>
      <c r="D147" s="10" t="n"/>
      <c r="E147" s="7" t="n"/>
      <c r="F147" s="7" t="n"/>
      <c r="G147" s="7" t="n"/>
      <c r="H147" s="7" t="n"/>
      <c r="I147" s="9" t="n"/>
      <c r="J147" s="7" t="n"/>
      <c r="K147" s="7" t="n"/>
      <c r="L147" s="7" t="n"/>
      <c r="M147" s="9" t="n"/>
      <c r="N147" s="9">
        <f>IF($E147="","",IF($S147&lt;&gt;"ÖDEMEDE",0,MIN($R147,IF($J147="Oran",IFERROR($C147*$K147/$L147,0),$M147))))</f>
        <v/>
      </c>
      <c r="O147" s="9" t="n"/>
      <c r="P147" s="9">
        <f>IF($E147="","",SUMIFS('AYLIK KESİNTİLER'!$E$2:$E$5000,'AYLIK KESİNTİLER'!$A$2:$A$5000,$A147,'AYLIK KESİNTİLER'!$B$2:$B$5000,$E147))</f>
        <v/>
      </c>
      <c r="Q147" s="9">
        <f>IF($E147="","",$O147+$P147)</f>
        <v/>
      </c>
      <c r="R147" s="9">
        <f>IF($E147="","",$I147-$Q147)</f>
        <v/>
      </c>
      <c r="S147" s="12">
        <f>IF($E147="","",IF($R147&lt;=0,"KAPANDI",IF(COUNTIFS($A$2:$A$300,$A147,$F$2:$F$300,"&lt;"&amp;$F147,$R$2:$R$300,"&gt;0")=0,"ÖDEMEDE","SIRADA")))</f>
        <v/>
      </c>
      <c r="T147" s="7" t="n"/>
      <c r="U147" s="7" t="n"/>
      <c r="V147">
        <f>IF($E147="","",$A147&amp;"|"&amp;$S147)</f>
        <v/>
      </c>
    </row>
    <row r="148">
      <c r="A148" s="7" t="n"/>
      <c r="B148" s="8">
        <f>IF($A148="","",IFERROR(VLOOKUP($A148,PERSONEL!$A$2:$C$300,2,0),""))</f>
        <v/>
      </c>
      <c r="C148" s="9">
        <f>IF($A148="","",IFERROR(VLOOKUP($A148,PERSONEL!$A$2:$C$300,3,0),""))</f>
        <v/>
      </c>
      <c r="D148" s="10" t="n"/>
      <c r="E148" s="7" t="n"/>
      <c r="F148" s="7" t="n"/>
      <c r="G148" s="7" t="n"/>
      <c r="H148" s="7" t="n"/>
      <c r="I148" s="9" t="n"/>
      <c r="J148" s="7" t="n"/>
      <c r="K148" s="7" t="n"/>
      <c r="L148" s="7" t="n"/>
      <c r="M148" s="9" t="n"/>
      <c r="N148" s="9">
        <f>IF($E148="","",IF($S148&lt;&gt;"ÖDEMEDE",0,MIN($R148,IF($J148="Oran",IFERROR($C148*$K148/$L148,0),$M148))))</f>
        <v/>
      </c>
      <c r="O148" s="9" t="n"/>
      <c r="P148" s="9">
        <f>IF($E148="","",SUMIFS('AYLIK KESİNTİLER'!$E$2:$E$5000,'AYLIK KESİNTİLER'!$A$2:$A$5000,$A148,'AYLIK KESİNTİLER'!$B$2:$B$5000,$E148))</f>
        <v/>
      </c>
      <c r="Q148" s="9">
        <f>IF($E148="","",$O148+$P148)</f>
        <v/>
      </c>
      <c r="R148" s="9">
        <f>IF($E148="","",$I148-$Q148)</f>
        <v/>
      </c>
      <c r="S148" s="12">
        <f>IF($E148="","",IF($R148&lt;=0,"KAPANDI",IF(COUNTIFS($A$2:$A$300,$A148,$F$2:$F$300,"&lt;"&amp;$F148,$R$2:$R$300,"&gt;0")=0,"ÖDEMEDE","SIRADA")))</f>
        <v/>
      </c>
      <c r="T148" s="7" t="n"/>
      <c r="U148" s="7" t="n"/>
      <c r="V148">
        <f>IF($E148="","",$A148&amp;"|"&amp;$S148)</f>
        <v/>
      </c>
    </row>
    <row r="149">
      <c r="A149" s="7" t="n"/>
      <c r="B149" s="8">
        <f>IF($A149="","",IFERROR(VLOOKUP($A149,PERSONEL!$A$2:$C$300,2,0),""))</f>
        <v/>
      </c>
      <c r="C149" s="9">
        <f>IF($A149="","",IFERROR(VLOOKUP($A149,PERSONEL!$A$2:$C$300,3,0),""))</f>
        <v/>
      </c>
      <c r="D149" s="10" t="n"/>
      <c r="E149" s="7" t="n"/>
      <c r="F149" s="7" t="n"/>
      <c r="G149" s="7" t="n"/>
      <c r="H149" s="7" t="n"/>
      <c r="I149" s="9" t="n"/>
      <c r="J149" s="7" t="n"/>
      <c r="K149" s="7" t="n"/>
      <c r="L149" s="7" t="n"/>
      <c r="M149" s="9" t="n"/>
      <c r="N149" s="9">
        <f>IF($E149="","",IF($S149&lt;&gt;"ÖDEMEDE",0,MIN($R149,IF($J149="Oran",IFERROR($C149*$K149/$L149,0),$M149))))</f>
        <v/>
      </c>
      <c r="O149" s="9" t="n"/>
      <c r="P149" s="9">
        <f>IF($E149="","",SUMIFS('AYLIK KESİNTİLER'!$E$2:$E$5000,'AYLIK KESİNTİLER'!$A$2:$A$5000,$A149,'AYLIK KESİNTİLER'!$B$2:$B$5000,$E149))</f>
        <v/>
      </c>
      <c r="Q149" s="9">
        <f>IF($E149="","",$O149+$P149)</f>
        <v/>
      </c>
      <c r="R149" s="9">
        <f>IF($E149="","",$I149-$Q149)</f>
        <v/>
      </c>
      <c r="S149" s="12">
        <f>IF($E149="","",IF($R149&lt;=0,"KAPANDI",IF(COUNTIFS($A$2:$A$300,$A149,$F$2:$F$300,"&lt;"&amp;$F149,$R$2:$R$300,"&gt;0")=0,"ÖDEMEDE","SIRADA")))</f>
        <v/>
      </c>
      <c r="T149" s="7" t="n"/>
      <c r="U149" s="7" t="n"/>
      <c r="V149">
        <f>IF($E149="","",$A149&amp;"|"&amp;$S149)</f>
        <v/>
      </c>
    </row>
    <row r="150">
      <c r="A150" s="7" t="n"/>
      <c r="B150" s="8">
        <f>IF($A150="","",IFERROR(VLOOKUP($A150,PERSONEL!$A$2:$C$300,2,0),""))</f>
        <v/>
      </c>
      <c r="C150" s="9">
        <f>IF($A150="","",IFERROR(VLOOKUP($A150,PERSONEL!$A$2:$C$300,3,0),""))</f>
        <v/>
      </c>
      <c r="D150" s="10" t="n"/>
      <c r="E150" s="7" t="n"/>
      <c r="F150" s="7" t="n"/>
      <c r="G150" s="7" t="n"/>
      <c r="H150" s="7" t="n"/>
      <c r="I150" s="9" t="n"/>
      <c r="J150" s="7" t="n"/>
      <c r="K150" s="7" t="n"/>
      <c r="L150" s="7" t="n"/>
      <c r="M150" s="9" t="n"/>
      <c r="N150" s="9">
        <f>IF($E150="","",IF($S150&lt;&gt;"ÖDEMEDE",0,MIN($R150,IF($J150="Oran",IFERROR($C150*$K150/$L150,0),$M150))))</f>
        <v/>
      </c>
      <c r="O150" s="9" t="n"/>
      <c r="P150" s="9">
        <f>IF($E150="","",SUMIFS('AYLIK KESİNTİLER'!$E$2:$E$5000,'AYLIK KESİNTİLER'!$A$2:$A$5000,$A150,'AYLIK KESİNTİLER'!$B$2:$B$5000,$E150))</f>
        <v/>
      </c>
      <c r="Q150" s="9">
        <f>IF($E150="","",$O150+$P150)</f>
        <v/>
      </c>
      <c r="R150" s="9">
        <f>IF($E150="","",$I150-$Q150)</f>
        <v/>
      </c>
      <c r="S150" s="12">
        <f>IF($E150="","",IF($R150&lt;=0,"KAPANDI",IF(COUNTIFS($A$2:$A$300,$A150,$F$2:$F$300,"&lt;"&amp;$F150,$R$2:$R$300,"&gt;0")=0,"ÖDEMEDE","SIRADA")))</f>
        <v/>
      </c>
      <c r="T150" s="7" t="n"/>
      <c r="U150" s="7" t="n"/>
      <c r="V150">
        <f>IF($E150="","",$A150&amp;"|"&amp;$S150)</f>
        <v/>
      </c>
    </row>
    <row r="151">
      <c r="A151" s="7" t="n"/>
      <c r="B151" s="8">
        <f>IF($A151="","",IFERROR(VLOOKUP($A151,PERSONEL!$A$2:$C$300,2,0),""))</f>
        <v/>
      </c>
      <c r="C151" s="9">
        <f>IF($A151="","",IFERROR(VLOOKUP($A151,PERSONEL!$A$2:$C$300,3,0),""))</f>
        <v/>
      </c>
      <c r="D151" s="10" t="n"/>
      <c r="E151" s="7" t="n"/>
      <c r="F151" s="7" t="n"/>
      <c r="G151" s="7" t="n"/>
      <c r="H151" s="7" t="n"/>
      <c r="I151" s="9" t="n"/>
      <c r="J151" s="7" t="n"/>
      <c r="K151" s="7" t="n"/>
      <c r="L151" s="7" t="n"/>
      <c r="M151" s="9" t="n"/>
      <c r="N151" s="9">
        <f>IF($E151="","",IF($S151&lt;&gt;"ÖDEMEDE",0,MIN($R151,IF($J151="Oran",IFERROR($C151*$K151/$L151,0),$M151))))</f>
        <v/>
      </c>
      <c r="O151" s="9" t="n"/>
      <c r="P151" s="9">
        <f>IF($E151="","",SUMIFS('AYLIK KESİNTİLER'!$E$2:$E$5000,'AYLIK KESİNTİLER'!$A$2:$A$5000,$A151,'AYLIK KESİNTİLER'!$B$2:$B$5000,$E151))</f>
        <v/>
      </c>
      <c r="Q151" s="9">
        <f>IF($E151="","",$O151+$P151)</f>
        <v/>
      </c>
      <c r="R151" s="9">
        <f>IF($E151="","",$I151-$Q151)</f>
        <v/>
      </c>
      <c r="S151" s="12">
        <f>IF($E151="","",IF($R151&lt;=0,"KAPANDI",IF(COUNTIFS($A$2:$A$300,$A151,$F$2:$F$300,"&lt;"&amp;$F151,$R$2:$R$300,"&gt;0")=0,"ÖDEMEDE","SIRADA")))</f>
        <v/>
      </c>
      <c r="T151" s="7" t="n"/>
      <c r="U151" s="7" t="n"/>
      <c r="V151">
        <f>IF($E151="","",$A151&amp;"|"&amp;$S151)</f>
        <v/>
      </c>
    </row>
    <row r="152">
      <c r="A152" s="7" t="n"/>
      <c r="B152" s="8">
        <f>IF($A152="","",IFERROR(VLOOKUP($A152,PERSONEL!$A$2:$C$300,2,0),""))</f>
        <v/>
      </c>
      <c r="C152" s="9">
        <f>IF($A152="","",IFERROR(VLOOKUP($A152,PERSONEL!$A$2:$C$300,3,0),""))</f>
        <v/>
      </c>
      <c r="D152" s="10" t="n"/>
      <c r="E152" s="7" t="n"/>
      <c r="F152" s="7" t="n"/>
      <c r="G152" s="7" t="n"/>
      <c r="H152" s="7" t="n"/>
      <c r="I152" s="9" t="n"/>
      <c r="J152" s="7" t="n"/>
      <c r="K152" s="7" t="n"/>
      <c r="L152" s="7" t="n"/>
      <c r="M152" s="9" t="n"/>
      <c r="N152" s="9">
        <f>IF($E152="","",IF($S152&lt;&gt;"ÖDEMEDE",0,MIN($R152,IF($J152="Oran",IFERROR($C152*$K152/$L152,0),$M152))))</f>
        <v/>
      </c>
      <c r="O152" s="9" t="n"/>
      <c r="P152" s="9">
        <f>IF($E152="","",SUMIFS('AYLIK KESİNTİLER'!$E$2:$E$5000,'AYLIK KESİNTİLER'!$A$2:$A$5000,$A152,'AYLIK KESİNTİLER'!$B$2:$B$5000,$E152))</f>
        <v/>
      </c>
      <c r="Q152" s="9">
        <f>IF($E152="","",$O152+$P152)</f>
        <v/>
      </c>
      <c r="R152" s="9">
        <f>IF($E152="","",$I152-$Q152)</f>
        <v/>
      </c>
      <c r="S152" s="12">
        <f>IF($E152="","",IF($R152&lt;=0,"KAPANDI",IF(COUNTIFS($A$2:$A$300,$A152,$F$2:$F$300,"&lt;"&amp;$F152,$R$2:$R$300,"&gt;0")=0,"ÖDEMEDE","SIRADA")))</f>
        <v/>
      </c>
      <c r="T152" s="7" t="n"/>
      <c r="U152" s="7" t="n"/>
      <c r="V152">
        <f>IF($E152="","",$A152&amp;"|"&amp;$S152)</f>
        <v/>
      </c>
    </row>
    <row r="153">
      <c r="A153" s="7" t="n"/>
      <c r="B153" s="8">
        <f>IF($A153="","",IFERROR(VLOOKUP($A153,PERSONEL!$A$2:$C$300,2,0),""))</f>
        <v/>
      </c>
      <c r="C153" s="9">
        <f>IF($A153="","",IFERROR(VLOOKUP($A153,PERSONEL!$A$2:$C$300,3,0),""))</f>
        <v/>
      </c>
      <c r="D153" s="10" t="n"/>
      <c r="E153" s="7" t="n"/>
      <c r="F153" s="7" t="n"/>
      <c r="G153" s="7" t="n"/>
      <c r="H153" s="7" t="n"/>
      <c r="I153" s="9" t="n"/>
      <c r="J153" s="7" t="n"/>
      <c r="K153" s="7" t="n"/>
      <c r="L153" s="7" t="n"/>
      <c r="M153" s="9" t="n"/>
      <c r="N153" s="9">
        <f>IF($E153="","",IF($S153&lt;&gt;"ÖDEMEDE",0,MIN($R153,IF($J153="Oran",IFERROR($C153*$K153/$L153,0),$M153))))</f>
        <v/>
      </c>
      <c r="O153" s="9" t="n"/>
      <c r="P153" s="9">
        <f>IF($E153="","",SUMIFS('AYLIK KESİNTİLER'!$E$2:$E$5000,'AYLIK KESİNTİLER'!$A$2:$A$5000,$A153,'AYLIK KESİNTİLER'!$B$2:$B$5000,$E153))</f>
        <v/>
      </c>
      <c r="Q153" s="9">
        <f>IF($E153="","",$O153+$P153)</f>
        <v/>
      </c>
      <c r="R153" s="9">
        <f>IF($E153="","",$I153-$Q153)</f>
        <v/>
      </c>
      <c r="S153" s="12">
        <f>IF($E153="","",IF($R153&lt;=0,"KAPANDI",IF(COUNTIFS($A$2:$A$300,$A153,$F$2:$F$300,"&lt;"&amp;$F153,$R$2:$R$300,"&gt;0")=0,"ÖDEMEDE","SIRADA")))</f>
        <v/>
      </c>
      <c r="T153" s="7" t="n"/>
      <c r="U153" s="7" t="n"/>
      <c r="V153">
        <f>IF($E153="","",$A153&amp;"|"&amp;$S153)</f>
        <v/>
      </c>
    </row>
    <row r="154">
      <c r="A154" s="7" t="n"/>
      <c r="B154" s="8">
        <f>IF($A154="","",IFERROR(VLOOKUP($A154,PERSONEL!$A$2:$C$300,2,0),""))</f>
        <v/>
      </c>
      <c r="C154" s="9">
        <f>IF($A154="","",IFERROR(VLOOKUP($A154,PERSONEL!$A$2:$C$300,3,0),""))</f>
        <v/>
      </c>
      <c r="D154" s="10" t="n"/>
      <c r="E154" s="7" t="n"/>
      <c r="F154" s="7" t="n"/>
      <c r="G154" s="7" t="n"/>
      <c r="H154" s="7" t="n"/>
      <c r="I154" s="9" t="n"/>
      <c r="J154" s="7" t="n"/>
      <c r="K154" s="7" t="n"/>
      <c r="L154" s="7" t="n"/>
      <c r="M154" s="9" t="n"/>
      <c r="N154" s="9">
        <f>IF($E154="","",IF($S154&lt;&gt;"ÖDEMEDE",0,MIN($R154,IF($J154="Oran",IFERROR($C154*$K154/$L154,0),$M154))))</f>
        <v/>
      </c>
      <c r="O154" s="9" t="n"/>
      <c r="P154" s="9">
        <f>IF($E154="","",SUMIFS('AYLIK KESİNTİLER'!$E$2:$E$5000,'AYLIK KESİNTİLER'!$A$2:$A$5000,$A154,'AYLIK KESİNTİLER'!$B$2:$B$5000,$E154))</f>
        <v/>
      </c>
      <c r="Q154" s="9">
        <f>IF($E154="","",$O154+$P154)</f>
        <v/>
      </c>
      <c r="R154" s="9">
        <f>IF($E154="","",$I154-$Q154)</f>
        <v/>
      </c>
      <c r="S154" s="12">
        <f>IF($E154="","",IF($R154&lt;=0,"KAPANDI",IF(COUNTIFS($A$2:$A$300,$A154,$F$2:$F$300,"&lt;"&amp;$F154,$R$2:$R$300,"&gt;0")=0,"ÖDEMEDE","SIRADA")))</f>
        <v/>
      </c>
      <c r="T154" s="7" t="n"/>
      <c r="U154" s="7" t="n"/>
      <c r="V154">
        <f>IF($E154="","",$A154&amp;"|"&amp;$S154)</f>
        <v/>
      </c>
    </row>
    <row r="155">
      <c r="A155" s="7" t="n"/>
      <c r="B155" s="8">
        <f>IF($A155="","",IFERROR(VLOOKUP($A155,PERSONEL!$A$2:$C$300,2,0),""))</f>
        <v/>
      </c>
      <c r="C155" s="9">
        <f>IF($A155="","",IFERROR(VLOOKUP($A155,PERSONEL!$A$2:$C$300,3,0),""))</f>
        <v/>
      </c>
      <c r="D155" s="10" t="n"/>
      <c r="E155" s="7" t="n"/>
      <c r="F155" s="7" t="n"/>
      <c r="G155" s="7" t="n"/>
      <c r="H155" s="7" t="n"/>
      <c r="I155" s="9" t="n"/>
      <c r="J155" s="7" t="n"/>
      <c r="K155" s="7" t="n"/>
      <c r="L155" s="7" t="n"/>
      <c r="M155" s="9" t="n"/>
      <c r="N155" s="9">
        <f>IF($E155="","",IF($S155&lt;&gt;"ÖDEMEDE",0,MIN($R155,IF($J155="Oran",IFERROR($C155*$K155/$L155,0),$M155))))</f>
        <v/>
      </c>
      <c r="O155" s="9" t="n"/>
      <c r="P155" s="9">
        <f>IF($E155="","",SUMIFS('AYLIK KESİNTİLER'!$E$2:$E$5000,'AYLIK KESİNTİLER'!$A$2:$A$5000,$A155,'AYLIK KESİNTİLER'!$B$2:$B$5000,$E155))</f>
        <v/>
      </c>
      <c r="Q155" s="9">
        <f>IF($E155="","",$O155+$P155)</f>
        <v/>
      </c>
      <c r="R155" s="9">
        <f>IF($E155="","",$I155-$Q155)</f>
        <v/>
      </c>
      <c r="S155" s="12">
        <f>IF($E155="","",IF($R155&lt;=0,"KAPANDI",IF(COUNTIFS($A$2:$A$300,$A155,$F$2:$F$300,"&lt;"&amp;$F155,$R$2:$R$300,"&gt;0")=0,"ÖDEMEDE","SIRADA")))</f>
        <v/>
      </c>
      <c r="T155" s="7" t="n"/>
      <c r="U155" s="7" t="n"/>
      <c r="V155">
        <f>IF($E155="","",$A155&amp;"|"&amp;$S155)</f>
        <v/>
      </c>
    </row>
    <row r="156">
      <c r="A156" s="7" t="n"/>
      <c r="B156" s="8">
        <f>IF($A156="","",IFERROR(VLOOKUP($A156,PERSONEL!$A$2:$C$300,2,0),""))</f>
        <v/>
      </c>
      <c r="C156" s="9">
        <f>IF($A156="","",IFERROR(VLOOKUP($A156,PERSONEL!$A$2:$C$300,3,0),""))</f>
        <v/>
      </c>
      <c r="D156" s="10" t="n"/>
      <c r="E156" s="7" t="n"/>
      <c r="F156" s="7" t="n"/>
      <c r="G156" s="7" t="n"/>
      <c r="H156" s="7" t="n"/>
      <c r="I156" s="9" t="n"/>
      <c r="J156" s="7" t="n"/>
      <c r="K156" s="7" t="n"/>
      <c r="L156" s="7" t="n"/>
      <c r="M156" s="9" t="n"/>
      <c r="N156" s="9">
        <f>IF($E156="","",IF($S156&lt;&gt;"ÖDEMEDE",0,MIN($R156,IF($J156="Oran",IFERROR($C156*$K156/$L156,0),$M156))))</f>
        <v/>
      </c>
      <c r="O156" s="9" t="n"/>
      <c r="P156" s="9">
        <f>IF($E156="","",SUMIFS('AYLIK KESİNTİLER'!$E$2:$E$5000,'AYLIK KESİNTİLER'!$A$2:$A$5000,$A156,'AYLIK KESİNTİLER'!$B$2:$B$5000,$E156))</f>
        <v/>
      </c>
      <c r="Q156" s="9">
        <f>IF($E156="","",$O156+$P156)</f>
        <v/>
      </c>
      <c r="R156" s="9">
        <f>IF($E156="","",$I156-$Q156)</f>
        <v/>
      </c>
      <c r="S156" s="12">
        <f>IF($E156="","",IF($R156&lt;=0,"KAPANDI",IF(COUNTIFS($A$2:$A$300,$A156,$F$2:$F$300,"&lt;"&amp;$F156,$R$2:$R$300,"&gt;0")=0,"ÖDEMEDE","SIRADA")))</f>
        <v/>
      </c>
      <c r="T156" s="7" t="n"/>
      <c r="U156" s="7" t="n"/>
      <c r="V156">
        <f>IF($E156="","",$A156&amp;"|"&amp;$S156)</f>
        <v/>
      </c>
    </row>
    <row r="157">
      <c r="A157" s="7" t="n"/>
      <c r="B157" s="8">
        <f>IF($A157="","",IFERROR(VLOOKUP($A157,PERSONEL!$A$2:$C$300,2,0),""))</f>
        <v/>
      </c>
      <c r="C157" s="9">
        <f>IF($A157="","",IFERROR(VLOOKUP($A157,PERSONEL!$A$2:$C$300,3,0),""))</f>
        <v/>
      </c>
      <c r="D157" s="10" t="n"/>
      <c r="E157" s="7" t="n"/>
      <c r="F157" s="7" t="n"/>
      <c r="G157" s="7" t="n"/>
      <c r="H157" s="7" t="n"/>
      <c r="I157" s="9" t="n"/>
      <c r="J157" s="7" t="n"/>
      <c r="K157" s="7" t="n"/>
      <c r="L157" s="7" t="n"/>
      <c r="M157" s="9" t="n"/>
      <c r="N157" s="9">
        <f>IF($E157="","",IF($S157&lt;&gt;"ÖDEMEDE",0,MIN($R157,IF($J157="Oran",IFERROR($C157*$K157/$L157,0),$M157))))</f>
        <v/>
      </c>
      <c r="O157" s="9" t="n"/>
      <c r="P157" s="9">
        <f>IF($E157="","",SUMIFS('AYLIK KESİNTİLER'!$E$2:$E$5000,'AYLIK KESİNTİLER'!$A$2:$A$5000,$A157,'AYLIK KESİNTİLER'!$B$2:$B$5000,$E157))</f>
        <v/>
      </c>
      <c r="Q157" s="9">
        <f>IF($E157="","",$O157+$P157)</f>
        <v/>
      </c>
      <c r="R157" s="9">
        <f>IF($E157="","",$I157-$Q157)</f>
        <v/>
      </c>
      <c r="S157" s="12">
        <f>IF($E157="","",IF($R157&lt;=0,"KAPANDI",IF(COUNTIFS($A$2:$A$300,$A157,$F$2:$F$300,"&lt;"&amp;$F157,$R$2:$R$300,"&gt;0")=0,"ÖDEMEDE","SIRADA")))</f>
        <v/>
      </c>
      <c r="T157" s="7" t="n"/>
      <c r="U157" s="7" t="n"/>
      <c r="V157">
        <f>IF($E157="","",$A157&amp;"|"&amp;$S157)</f>
        <v/>
      </c>
    </row>
    <row r="158">
      <c r="A158" s="7" t="n"/>
      <c r="B158" s="8">
        <f>IF($A158="","",IFERROR(VLOOKUP($A158,PERSONEL!$A$2:$C$300,2,0),""))</f>
        <v/>
      </c>
      <c r="C158" s="9">
        <f>IF($A158="","",IFERROR(VLOOKUP($A158,PERSONEL!$A$2:$C$300,3,0),""))</f>
        <v/>
      </c>
      <c r="D158" s="10" t="n"/>
      <c r="E158" s="7" t="n"/>
      <c r="F158" s="7" t="n"/>
      <c r="G158" s="7" t="n"/>
      <c r="H158" s="7" t="n"/>
      <c r="I158" s="9" t="n"/>
      <c r="J158" s="7" t="n"/>
      <c r="K158" s="7" t="n"/>
      <c r="L158" s="7" t="n"/>
      <c r="M158" s="9" t="n"/>
      <c r="N158" s="9">
        <f>IF($E158="","",IF($S158&lt;&gt;"ÖDEMEDE",0,MIN($R158,IF($J158="Oran",IFERROR($C158*$K158/$L158,0),$M158))))</f>
        <v/>
      </c>
      <c r="O158" s="9" t="n"/>
      <c r="P158" s="9">
        <f>IF($E158="","",SUMIFS('AYLIK KESİNTİLER'!$E$2:$E$5000,'AYLIK KESİNTİLER'!$A$2:$A$5000,$A158,'AYLIK KESİNTİLER'!$B$2:$B$5000,$E158))</f>
        <v/>
      </c>
      <c r="Q158" s="9">
        <f>IF($E158="","",$O158+$P158)</f>
        <v/>
      </c>
      <c r="R158" s="9">
        <f>IF($E158="","",$I158-$Q158)</f>
        <v/>
      </c>
      <c r="S158" s="12">
        <f>IF($E158="","",IF($R158&lt;=0,"KAPANDI",IF(COUNTIFS($A$2:$A$300,$A158,$F$2:$F$300,"&lt;"&amp;$F158,$R$2:$R$300,"&gt;0")=0,"ÖDEMEDE","SIRADA")))</f>
        <v/>
      </c>
      <c r="T158" s="7" t="n"/>
      <c r="U158" s="7" t="n"/>
      <c r="V158">
        <f>IF($E158="","",$A158&amp;"|"&amp;$S158)</f>
        <v/>
      </c>
    </row>
    <row r="159">
      <c r="A159" s="7" t="n"/>
      <c r="B159" s="8">
        <f>IF($A159="","",IFERROR(VLOOKUP($A159,PERSONEL!$A$2:$C$300,2,0),""))</f>
        <v/>
      </c>
      <c r="C159" s="9">
        <f>IF($A159="","",IFERROR(VLOOKUP($A159,PERSONEL!$A$2:$C$300,3,0),""))</f>
        <v/>
      </c>
      <c r="D159" s="10" t="n"/>
      <c r="E159" s="7" t="n"/>
      <c r="F159" s="7" t="n"/>
      <c r="G159" s="7" t="n"/>
      <c r="H159" s="7" t="n"/>
      <c r="I159" s="9" t="n"/>
      <c r="J159" s="7" t="n"/>
      <c r="K159" s="7" t="n"/>
      <c r="L159" s="7" t="n"/>
      <c r="M159" s="9" t="n"/>
      <c r="N159" s="9">
        <f>IF($E159="","",IF($S159&lt;&gt;"ÖDEMEDE",0,MIN($R159,IF($J159="Oran",IFERROR($C159*$K159/$L159,0),$M159))))</f>
        <v/>
      </c>
      <c r="O159" s="9" t="n"/>
      <c r="P159" s="9">
        <f>IF($E159="","",SUMIFS('AYLIK KESİNTİLER'!$E$2:$E$5000,'AYLIK KESİNTİLER'!$A$2:$A$5000,$A159,'AYLIK KESİNTİLER'!$B$2:$B$5000,$E159))</f>
        <v/>
      </c>
      <c r="Q159" s="9">
        <f>IF($E159="","",$O159+$P159)</f>
        <v/>
      </c>
      <c r="R159" s="9">
        <f>IF($E159="","",$I159-$Q159)</f>
        <v/>
      </c>
      <c r="S159" s="12">
        <f>IF($E159="","",IF($R159&lt;=0,"KAPANDI",IF(COUNTIFS($A$2:$A$300,$A159,$F$2:$F$300,"&lt;"&amp;$F159,$R$2:$R$300,"&gt;0")=0,"ÖDEMEDE","SIRADA")))</f>
        <v/>
      </c>
      <c r="T159" s="7" t="n"/>
      <c r="U159" s="7" t="n"/>
      <c r="V159">
        <f>IF($E159="","",$A159&amp;"|"&amp;$S159)</f>
        <v/>
      </c>
    </row>
    <row r="160">
      <c r="A160" s="7" t="n"/>
      <c r="B160" s="8">
        <f>IF($A160="","",IFERROR(VLOOKUP($A160,PERSONEL!$A$2:$C$300,2,0),""))</f>
        <v/>
      </c>
      <c r="C160" s="9">
        <f>IF($A160="","",IFERROR(VLOOKUP($A160,PERSONEL!$A$2:$C$300,3,0),""))</f>
        <v/>
      </c>
      <c r="D160" s="10" t="n"/>
      <c r="E160" s="7" t="n"/>
      <c r="F160" s="7" t="n"/>
      <c r="G160" s="7" t="n"/>
      <c r="H160" s="7" t="n"/>
      <c r="I160" s="9" t="n"/>
      <c r="J160" s="7" t="n"/>
      <c r="K160" s="7" t="n"/>
      <c r="L160" s="7" t="n"/>
      <c r="M160" s="9" t="n"/>
      <c r="N160" s="9">
        <f>IF($E160="","",IF($S160&lt;&gt;"ÖDEMEDE",0,MIN($R160,IF($J160="Oran",IFERROR($C160*$K160/$L160,0),$M160))))</f>
        <v/>
      </c>
      <c r="O160" s="9" t="n"/>
      <c r="P160" s="9">
        <f>IF($E160="","",SUMIFS('AYLIK KESİNTİLER'!$E$2:$E$5000,'AYLIK KESİNTİLER'!$A$2:$A$5000,$A160,'AYLIK KESİNTİLER'!$B$2:$B$5000,$E160))</f>
        <v/>
      </c>
      <c r="Q160" s="9">
        <f>IF($E160="","",$O160+$P160)</f>
        <v/>
      </c>
      <c r="R160" s="9">
        <f>IF($E160="","",$I160-$Q160)</f>
        <v/>
      </c>
      <c r="S160" s="12">
        <f>IF($E160="","",IF($R160&lt;=0,"KAPANDI",IF(COUNTIFS($A$2:$A$300,$A160,$F$2:$F$300,"&lt;"&amp;$F160,$R$2:$R$300,"&gt;0")=0,"ÖDEMEDE","SIRADA")))</f>
        <v/>
      </c>
      <c r="T160" s="7" t="n"/>
      <c r="U160" s="7" t="n"/>
      <c r="V160">
        <f>IF($E160="","",$A160&amp;"|"&amp;$S160)</f>
        <v/>
      </c>
    </row>
    <row r="161">
      <c r="A161" s="7" t="n"/>
      <c r="B161" s="8">
        <f>IF($A161="","",IFERROR(VLOOKUP($A161,PERSONEL!$A$2:$C$300,2,0),""))</f>
        <v/>
      </c>
      <c r="C161" s="9">
        <f>IF($A161="","",IFERROR(VLOOKUP($A161,PERSONEL!$A$2:$C$300,3,0),""))</f>
        <v/>
      </c>
      <c r="D161" s="10" t="n"/>
      <c r="E161" s="7" t="n"/>
      <c r="F161" s="7" t="n"/>
      <c r="G161" s="7" t="n"/>
      <c r="H161" s="7" t="n"/>
      <c r="I161" s="9" t="n"/>
      <c r="J161" s="7" t="n"/>
      <c r="K161" s="7" t="n"/>
      <c r="L161" s="7" t="n"/>
      <c r="M161" s="9" t="n"/>
      <c r="N161" s="9">
        <f>IF($E161="","",IF($S161&lt;&gt;"ÖDEMEDE",0,MIN($R161,IF($J161="Oran",IFERROR($C161*$K161/$L161,0),$M161))))</f>
        <v/>
      </c>
      <c r="O161" s="9" t="n"/>
      <c r="P161" s="9">
        <f>IF($E161="","",SUMIFS('AYLIK KESİNTİLER'!$E$2:$E$5000,'AYLIK KESİNTİLER'!$A$2:$A$5000,$A161,'AYLIK KESİNTİLER'!$B$2:$B$5000,$E161))</f>
        <v/>
      </c>
      <c r="Q161" s="9">
        <f>IF($E161="","",$O161+$P161)</f>
        <v/>
      </c>
      <c r="R161" s="9">
        <f>IF($E161="","",$I161-$Q161)</f>
        <v/>
      </c>
      <c r="S161" s="12">
        <f>IF($E161="","",IF($R161&lt;=0,"KAPANDI",IF(COUNTIFS($A$2:$A$300,$A161,$F$2:$F$300,"&lt;"&amp;$F161,$R$2:$R$300,"&gt;0")=0,"ÖDEMEDE","SIRADA")))</f>
        <v/>
      </c>
      <c r="T161" s="7" t="n"/>
      <c r="U161" s="7" t="n"/>
      <c r="V161">
        <f>IF($E161="","",$A161&amp;"|"&amp;$S161)</f>
        <v/>
      </c>
    </row>
    <row r="162">
      <c r="A162" s="7" t="n"/>
      <c r="B162" s="8">
        <f>IF($A162="","",IFERROR(VLOOKUP($A162,PERSONEL!$A$2:$C$300,2,0),""))</f>
        <v/>
      </c>
      <c r="C162" s="9">
        <f>IF($A162="","",IFERROR(VLOOKUP($A162,PERSONEL!$A$2:$C$300,3,0),""))</f>
        <v/>
      </c>
      <c r="D162" s="10" t="n"/>
      <c r="E162" s="7" t="n"/>
      <c r="F162" s="7" t="n"/>
      <c r="G162" s="7" t="n"/>
      <c r="H162" s="7" t="n"/>
      <c r="I162" s="9" t="n"/>
      <c r="J162" s="7" t="n"/>
      <c r="K162" s="7" t="n"/>
      <c r="L162" s="7" t="n"/>
      <c r="M162" s="9" t="n"/>
      <c r="N162" s="9">
        <f>IF($E162="","",IF($S162&lt;&gt;"ÖDEMEDE",0,MIN($R162,IF($J162="Oran",IFERROR($C162*$K162/$L162,0),$M162))))</f>
        <v/>
      </c>
      <c r="O162" s="9" t="n"/>
      <c r="P162" s="9">
        <f>IF($E162="","",SUMIFS('AYLIK KESİNTİLER'!$E$2:$E$5000,'AYLIK KESİNTİLER'!$A$2:$A$5000,$A162,'AYLIK KESİNTİLER'!$B$2:$B$5000,$E162))</f>
        <v/>
      </c>
      <c r="Q162" s="9">
        <f>IF($E162="","",$O162+$P162)</f>
        <v/>
      </c>
      <c r="R162" s="9">
        <f>IF($E162="","",$I162-$Q162)</f>
        <v/>
      </c>
      <c r="S162" s="12">
        <f>IF($E162="","",IF($R162&lt;=0,"KAPANDI",IF(COUNTIFS($A$2:$A$300,$A162,$F$2:$F$300,"&lt;"&amp;$F162,$R$2:$R$300,"&gt;0")=0,"ÖDEMEDE","SIRADA")))</f>
        <v/>
      </c>
      <c r="T162" s="7" t="n"/>
      <c r="U162" s="7" t="n"/>
      <c r="V162">
        <f>IF($E162="","",$A162&amp;"|"&amp;$S162)</f>
        <v/>
      </c>
    </row>
    <row r="163">
      <c r="A163" s="7" t="n"/>
      <c r="B163" s="8">
        <f>IF($A163="","",IFERROR(VLOOKUP($A163,PERSONEL!$A$2:$C$300,2,0),""))</f>
        <v/>
      </c>
      <c r="C163" s="9">
        <f>IF($A163="","",IFERROR(VLOOKUP($A163,PERSONEL!$A$2:$C$300,3,0),""))</f>
        <v/>
      </c>
      <c r="D163" s="10" t="n"/>
      <c r="E163" s="7" t="n"/>
      <c r="F163" s="7" t="n"/>
      <c r="G163" s="7" t="n"/>
      <c r="H163" s="7" t="n"/>
      <c r="I163" s="9" t="n"/>
      <c r="J163" s="7" t="n"/>
      <c r="K163" s="7" t="n"/>
      <c r="L163" s="7" t="n"/>
      <c r="M163" s="9" t="n"/>
      <c r="N163" s="9">
        <f>IF($E163="","",IF($S163&lt;&gt;"ÖDEMEDE",0,MIN($R163,IF($J163="Oran",IFERROR($C163*$K163/$L163,0),$M163))))</f>
        <v/>
      </c>
      <c r="O163" s="9" t="n"/>
      <c r="P163" s="9">
        <f>IF($E163="","",SUMIFS('AYLIK KESİNTİLER'!$E$2:$E$5000,'AYLIK KESİNTİLER'!$A$2:$A$5000,$A163,'AYLIK KESİNTİLER'!$B$2:$B$5000,$E163))</f>
        <v/>
      </c>
      <c r="Q163" s="9">
        <f>IF($E163="","",$O163+$P163)</f>
        <v/>
      </c>
      <c r="R163" s="9">
        <f>IF($E163="","",$I163-$Q163)</f>
        <v/>
      </c>
      <c r="S163" s="12">
        <f>IF($E163="","",IF($R163&lt;=0,"KAPANDI",IF(COUNTIFS($A$2:$A$300,$A163,$F$2:$F$300,"&lt;"&amp;$F163,$R$2:$R$300,"&gt;0")=0,"ÖDEMEDE","SIRADA")))</f>
        <v/>
      </c>
      <c r="T163" s="7" t="n"/>
      <c r="U163" s="7" t="n"/>
      <c r="V163">
        <f>IF($E163="","",$A163&amp;"|"&amp;$S163)</f>
        <v/>
      </c>
    </row>
    <row r="164">
      <c r="A164" s="7" t="n"/>
      <c r="B164" s="8">
        <f>IF($A164="","",IFERROR(VLOOKUP($A164,PERSONEL!$A$2:$C$300,2,0),""))</f>
        <v/>
      </c>
      <c r="C164" s="9">
        <f>IF($A164="","",IFERROR(VLOOKUP($A164,PERSONEL!$A$2:$C$300,3,0),""))</f>
        <v/>
      </c>
      <c r="D164" s="10" t="n"/>
      <c r="E164" s="7" t="n"/>
      <c r="F164" s="7" t="n"/>
      <c r="G164" s="7" t="n"/>
      <c r="H164" s="7" t="n"/>
      <c r="I164" s="9" t="n"/>
      <c r="J164" s="7" t="n"/>
      <c r="K164" s="7" t="n"/>
      <c r="L164" s="7" t="n"/>
      <c r="M164" s="9" t="n"/>
      <c r="N164" s="9">
        <f>IF($E164="","",IF($S164&lt;&gt;"ÖDEMEDE",0,MIN($R164,IF($J164="Oran",IFERROR($C164*$K164/$L164,0),$M164))))</f>
        <v/>
      </c>
      <c r="O164" s="9" t="n"/>
      <c r="P164" s="9">
        <f>IF($E164="","",SUMIFS('AYLIK KESİNTİLER'!$E$2:$E$5000,'AYLIK KESİNTİLER'!$A$2:$A$5000,$A164,'AYLIK KESİNTİLER'!$B$2:$B$5000,$E164))</f>
        <v/>
      </c>
      <c r="Q164" s="9">
        <f>IF($E164="","",$O164+$P164)</f>
        <v/>
      </c>
      <c r="R164" s="9">
        <f>IF($E164="","",$I164-$Q164)</f>
        <v/>
      </c>
      <c r="S164" s="12">
        <f>IF($E164="","",IF($R164&lt;=0,"KAPANDI",IF(COUNTIFS($A$2:$A$300,$A164,$F$2:$F$300,"&lt;"&amp;$F164,$R$2:$R$300,"&gt;0")=0,"ÖDEMEDE","SIRADA")))</f>
        <v/>
      </c>
      <c r="T164" s="7" t="n"/>
      <c r="U164" s="7" t="n"/>
      <c r="V164">
        <f>IF($E164="","",$A164&amp;"|"&amp;$S164)</f>
        <v/>
      </c>
    </row>
    <row r="165">
      <c r="A165" s="7" t="n"/>
      <c r="B165" s="8">
        <f>IF($A165="","",IFERROR(VLOOKUP($A165,PERSONEL!$A$2:$C$300,2,0),""))</f>
        <v/>
      </c>
      <c r="C165" s="9">
        <f>IF($A165="","",IFERROR(VLOOKUP($A165,PERSONEL!$A$2:$C$300,3,0),""))</f>
        <v/>
      </c>
      <c r="D165" s="10" t="n"/>
      <c r="E165" s="7" t="n"/>
      <c r="F165" s="7" t="n"/>
      <c r="G165" s="7" t="n"/>
      <c r="H165" s="7" t="n"/>
      <c r="I165" s="9" t="n"/>
      <c r="J165" s="7" t="n"/>
      <c r="K165" s="7" t="n"/>
      <c r="L165" s="7" t="n"/>
      <c r="M165" s="9" t="n"/>
      <c r="N165" s="9">
        <f>IF($E165="","",IF($S165&lt;&gt;"ÖDEMEDE",0,MIN($R165,IF($J165="Oran",IFERROR($C165*$K165/$L165,0),$M165))))</f>
        <v/>
      </c>
      <c r="O165" s="9" t="n"/>
      <c r="P165" s="9">
        <f>IF($E165="","",SUMIFS('AYLIK KESİNTİLER'!$E$2:$E$5000,'AYLIK KESİNTİLER'!$A$2:$A$5000,$A165,'AYLIK KESİNTİLER'!$B$2:$B$5000,$E165))</f>
        <v/>
      </c>
      <c r="Q165" s="9">
        <f>IF($E165="","",$O165+$P165)</f>
        <v/>
      </c>
      <c r="R165" s="9">
        <f>IF($E165="","",$I165-$Q165)</f>
        <v/>
      </c>
      <c r="S165" s="12">
        <f>IF($E165="","",IF($R165&lt;=0,"KAPANDI",IF(COUNTIFS($A$2:$A$300,$A165,$F$2:$F$300,"&lt;"&amp;$F165,$R$2:$R$300,"&gt;0")=0,"ÖDEMEDE","SIRADA")))</f>
        <v/>
      </c>
      <c r="T165" s="7" t="n"/>
      <c r="U165" s="7" t="n"/>
      <c r="V165">
        <f>IF($E165="","",$A165&amp;"|"&amp;$S165)</f>
        <v/>
      </c>
    </row>
    <row r="166">
      <c r="A166" s="7" t="n"/>
      <c r="B166" s="8">
        <f>IF($A166="","",IFERROR(VLOOKUP($A166,PERSONEL!$A$2:$C$300,2,0),""))</f>
        <v/>
      </c>
      <c r="C166" s="9">
        <f>IF($A166="","",IFERROR(VLOOKUP($A166,PERSONEL!$A$2:$C$300,3,0),""))</f>
        <v/>
      </c>
      <c r="D166" s="10" t="n"/>
      <c r="E166" s="7" t="n"/>
      <c r="F166" s="7" t="n"/>
      <c r="G166" s="7" t="n"/>
      <c r="H166" s="7" t="n"/>
      <c r="I166" s="9" t="n"/>
      <c r="J166" s="7" t="n"/>
      <c r="K166" s="7" t="n"/>
      <c r="L166" s="7" t="n"/>
      <c r="M166" s="9" t="n"/>
      <c r="N166" s="9">
        <f>IF($E166="","",IF($S166&lt;&gt;"ÖDEMEDE",0,MIN($R166,IF($J166="Oran",IFERROR($C166*$K166/$L166,0),$M166))))</f>
        <v/>
      </c>
      <c r="O166" s="9" t="n"/>
      <c r="P166" s="9">
        <f>IF($E166="","",SUMIFS('AYLIK KESİNTİLER'!$E$2:$E$5000,'AYLIK KESİNTİLER'!$A$2:$A$5000,$A166,'AYLIK KESİNTİLER'!$B$2:$B$5000,$E166))</f>
        <v/>
      </c>
      <c r="Q166" s="9">
        <f>IF($E166="","",$O166+$P166)</f>
        <v/>
      </c>
      <c r="R166" s="9">
        <f>IF($E166="","",$I166-$Q166)</f>
        <v/>
      </c>
      <c r="S166" s="12">
        <f>IF($E166="","",IF($R166&lt;=0,"KAPANDI",IF(COUNTIFS($A$2:$A$300,$A166,$F$2:$F$300,"&lt;"&amp;$F166,$R$2:$R$300,"&gt;0")=0,"ÖDEMEDE","SIRADA")))</f>
        <v/>
      </c>
      <c r="T166" s="7" t="n"/>
      <c r="U166" s="7" t="n"/>
      <c r="V166">
        <f>IF($E166="","",$A166&amp;"|"&amp;$S166)</f>
        <v/>
      </c>
    </row>
    <row r="167">
      <c r="A167" s="7" t="n"/>
      <c r="B167" s="8">
        <f>IF($A167="","",IFERROR(VLOOKUP($A167,PERSONEL!$A$2:$C$300,2,0),""))</f>
        <v/>
      </c>
      <c r="C167" s="9">
        <f>IF($A167="","",IFERROR(VLOOKUP($A167,PERSONEL!$A$2:$C$300,3,0),""))</f>
        <v/>
      </c>
      <c r="D167" s="10" t="n"/>
      <c r="E167" s="7" t="n"/>
      <c r="F167" s="7" t="n"/>
      <c r="G167" s="7" t="n"/>
      <c r="H167" s="7" t="n"/>
      <c r="I167" s="9" t="n"/>
      <c r="J167" s="7" t="n"/>
      <c r="K167" s="7" t="n"/>
      <c r="L167" s="7" t="n"/>
      <c r="M167" s="9" t="n"/>
      <c r="N167" s="9">
        <f>IF($E167="","",IF($S167&lt;&gt;"ÖDEMEDE",0,MIN($R167,IF($J167="Oran",IFERROR($C167*$K167/$L167,0),$M167))))</f>
        <v/>
      </c>
      <c r="O167" s="9" t="n"/>
      <c r="P167" s="9">
        <f>IF($E167="","",SUMIFS('AYLIK KESİNTİLER'!$E$2:$E$5000,'AYLIK KESİNTİLER'!$A$2:$A$5000,$A167,'AYLIK KESİNTİLER'!$B$2:$B$5000,$E167))</f>
        <v/>
      </c>
      <c r="Q167" s="9">
        <f>IF($E167="","",$O167+$P167)</f>
        <v/>
      </c>
      <c r="R167" s="9">
        <f>IF($E167="","",$I167-$Q167)</f>
        <v/>
      </c>
      <c r="S167" s="12">
        <f>IF($E167="","",IF($R167&lt;=0,"KAPANDI",IF(COUNTIFS($A$2:$A$300,$A167,$F$2:$F$300,"&lt;"&amp;$F167,$R$2:$R$300,"&gt;0")=0,"ÖDEMEDE","SIRADA")))</f>
        <v/>
      </c>
      <c r="T167" s="7" t="n"/>
      <c r="U167" s="7" t="n"/>
      <c r="V167">
        <f>IF($E167="","",$A167&amp;"|"&amp;$S167)</f>
        <v/>
      </c>
    </row>
    <row r="168">
      <c r="A168" s="7" t="n"/>
      <c r="B168" s="8">
        <f>IF($A168="","",IFERROR(VLOOKUP($A168,PERSONEL!$A$2:$C$300,2,0),""))</f>
        <v/>
      </c>
      <c r="C168" s="9">
        <f>IF($A168="","",IFERROR(VLOOKUP($A168,PERSONEL!$A$2:$C$300,3,0),""))</f>
        <v/>
      </c>
      <c r="D168" s="10" t="n"/>
      <c r="E168" s="7" t="n"/>
      <c r="F168" s="7" t="n"/>
      <c r="G168" s="7" t="n"/>
      <c r="H168" s="7" t="n"/>
      <c r="I168" s="9" t="n"/>
      <c r="J168" s="7" t="n"/>
      <c r="K168" s="7" t="n"/>
      <c r="L168" s="7" t="n"/>
      <c r="M168" s="9" t="n"/>
      <c r="N168" s="9">
        <f>IF($E168="","",IF($S168&lt;&gt;"ÖDEMEDE",0,MIN($R168,IF($J168="Oran",IFERROR($C168*$K168/$L168,0),$M168))))</f>
        <v/>
      </c>
      <c r="O168" s="9" t="n"/>
      <c r="P168" s="9">
        <f>IF($E168="","",SUMIFS('AYLIK KESİNTİLER'!$E$2:$E$5000,'AYLIK KESİNTİLER'!$A$2:$A$5000,$A168,'AYLIK KESİNTİLER'!$B$2:$B$5000,$E168))</f>
        <v/>
      </c>
      <c r="Q168" s="9">
        <f>IF($E168="","",$O168+$P168)</f>
        <v/>
      </c>
      <c r="R168" s="9">
        <f>IF($E168="","",$I168-$Q168)</f>
        <v/>
      </c>
      <c r="S168" s="12">
        <f>IF($E168="","",IF($R168&lt;=0,"KAPANDI",IF(COUNTIFS($A$2:$A$300,$A168,$F$2:$F$300,"&lt;"&amp;$F168,$R$2:$R$300,"&gt;0")=0,"ÖDEMEDE","SIRADA")))</f>
        <v/>
      </c>
      <c r="T168" s="7" t="n"/>
      <c r="U168" s="7" t="n"/>
      <c r="V168">
        <f>IF($E168="","",$A168&amp;"|"&amp;$S168)</f>
        <v/>
      </c>
    </row>
    <row r="169">
      <c r="A169" s="7" t="n"/>
      <c r="B169" s="8">
        <f>IF($A169="","",IFERROR(VLOOKUP($A169,PERSONEL!$A$2:$C$300,2,0),""))</f>
        <v/>
      </c>
      <c r="C169" s="9">
        <f>IF($A169="","",IFERROR(VLOOKUP($A169,PERSONEL!$A$2:$C$300,3,0),""))</f>
        <v/>
      </c>
      <c r="D169" s="10" t="n"/>
      <c r="E169" s="7" t="n"/>
      <c r="F169" s="7" t="n"/>
      <c r="G169" s="7" t="n"/>
      <c r="H169" s="7" t="n"/>
      <c r="I169" s="9" t="n"/>
      <c r="J169" s="7" t="n"/>
      <c r="K169" s="7" t="n"/>
      <c r="L169" s="7" t="n"/>
      <c r="M169" s="9" t="n"/>
      <c r="N169" s="9">
        <f>IF($E169="","",IF($S169&lt;&gt;"ÖDEMEDE",0,MIN($R169,IF($J169="Oran",IFERROR($C169*$K169/$L169,0),$M169))))</f>
        <v/>
      </c>
      <c r="O169" s="9" t="n"/>
      <c r="P169" s="9">
        <f>IF($E169="","",SUMIFS('AYLIK KESİNTİLER'!$E$2:$E$5000,'AYLIK KESİNTİLER'!$A$2:$A$5000,$A169,'AYLIK KESİNTİLER'!$B$2:$B$5000,$E169))</f>
        <v/>
      </c>
      <c r="Q169" s="9">
        <f>IF($E169="","",$O169+$P169)</f>
        <v/>
      </c>
      <c r="R169" s="9">
        <f>IF($E169="","",$I169-$Q169)</f>
        <v/>
      </c>
      <c r="S169" s="12">
        <f>IF($E169="","",IF($R169&lt;=0,"KAPANDI",IF(COUNTIFS($A$2:$A$300,$A169,$F$2:$F$300,"&lt;"&amp;$F169,$R$2:$R$300,"&gt;0")=0,"ÖDEMEDE","SIRADA")))</f>
        <v/>
      </c>
      <c r="T169" s="7" t="n"/>
      <c r="U169" s="7" t="n"/>
      <c r="V169">
        <f>IF($E169="","",$A169&amp;"|"&amp;$S169)</f>
        <v/>
      </c>
    </row>
    <row r="170">
      <c r="A170" s="7" t="n"/>
      <c r="B170" s="8">
        <f>IF($A170="","",IFERROR(VLOOKUP($A170,PERSONEL!$A$2:$C$300,2,0),""))</f>
        <v/>
      </c>
      <c r="C170" s="9">
        <f>IF($A170="","",IFERROR(VLOOKUP($A170,PERSONEL!$A$2:$C$300,3,0),""))</f>
        <v/>
      </c>
      <c r="D170" s="10" t="n"/>
      <c r="E170" s="7" t="n"/>
      <c r="F170" s="7" t="n"/>
      <c r="G170" s="7" t="n"/>
      <c r="H170" s="7" t="n"/>
      <c r="I170" s="9" t="n"/>
      <c r="J170" s="7" t="n"/>
      <c r="K170" s="7" t="n"/>
      <c r="L170" s="7" t="n"/>
      <c r="M170" s="9" t="n"/>
      <c r="N170" s="9">
        <f>IF($E170="","",IF($S170&lt;&gt;"ÖDEMEDE",0,MIN($R170,IF($J170="Oran",IFERROR($C170*$K170/$L170,0),$M170))))</f>
        <v/>
      </c>
      <c r="O170" s="9" t="n"/>
      <c r="P170" s="9">
        <f>IF($E170="","",SUMIFS('AYLIK KESİNTİLER'!$E$2:$E$5000,'AYLIK KESİNTİLER'!$A$2:$A$5000,$A170,'AYLIK KESİNTİLER'!$B$2:$B$5000,$E170))</f>
        <v/>
      </c>
      <c r="Q170" s="9">
        <f>IF($E170="","",$O170+$P170)</f>
        <v/>
      </c>
      <c r="R170" s="9">
        <f>IF($E170="","",$I170-$Q170)</f>
        <v/>
      </c>
      <c r="S170" s="12">
        <f>IF($E170="","",IF($R170&lt;=0,"KAPANDI",IF(COUNTIFS($A$2:$A$300,$A170,$F$2:$F$300,"&lt;"&amp;$F170,$R$2:$R$300,"&gt;0")=0,"ÖDEMEDE","SIRADA")))</f>
        <v/>
      </c>
      <c r="T170" s="7" t="n"/>
      <c r="U170" s="7" t="n"/>
      <c r="V170">
        <f>IF($E170="","",$A170&amp;"|"&amp;$S170)</f>
        <v/>
      </c>
    </row>
    <row r="171">
      <c r="A171" s="7" t="n"/>
      <c r="B171" s="8">
        <f>IF($A171="","",IFERROR(VLOOKUP($A171,PERSONEL!$A$2:$C$300,2,0),""))</f>
        <v/>
      </c>
      <c r="C171" s="9">
        <f>IF($A171="","",IFERROR(VLOOKUP($A171,PERSONEL!$A$2:$C$300,3,0),""))</f>
        <v/>
      </c>
      <c r="D171" s="10" t="n"/>
      <c r="E171" s="7" t="n"/>
      <c r="F171" s="7" t="n"/>
      <c r="G171" s="7" t="n"/>
      <c r="H171" s="7" t="n"/>
      <c r="I171" s="9" t="n"/>
      <c r="J171" s="7" t="n"/>
      <c r="K171" s="7" t="n"/>
      <c r="L171" s="7" t="n"/>
      <c r="M171" s="9" t="n"/>
      <c r="N171" s="9">
        <f>IF($E171="","",IF($S171&lt;&gt;"ÖDEMEDE",0,MIN($R171,IF($J171="Oran",IFERROR($C171*$K171/$L171,0),$M171))))</f>
        <v/>
      </c>
      <c r="O171" s="9" t="n"/>
      <c r="P171" s="9">
        <f>IF($E171="","",SUMIFS('AYLIK KESİNTİLER'!$E$2:$E$5000,'AYLIK KESİNTİLER'!$A$2:$A$5000,$A171,'AYLIK KESİNTİLER'!$B$2:$B$5000,$E171))</f>
        <v/>
      </c>
      <c r="Q171" s="9">
        <f>IF($E171="","",$O171+$P171)</f>
        <v/>
      </c>
      <c r="R171" s="9">
        <f>IF($E171="","",$I171-$Q171)</f>
        <v/>
      </c>
      <c r="S171" s="12">
        <f>IF($E171="","",IF($R171&lt;=0,"KAPANDI",IF(COUNTIFS($A$2:$A$300,$A171,$F$2:$F$300,"&lt;"&amp;$F171,$R$2:$R$300,"&gt;0")=0,"ÖDEMEDE","SIRADA")))</f>
        <v/>
      </c>
      <c r="T171" s="7" t="n"/>
      <c r="U171" s="7" t="n"/>
      <c r="V171">
        <f>IF($E171="","",$A171&amp;"|"&amp;$S171)</f>
        <v/>
      </c>
    </row>
    <row r="172">
      <c r="A172" s="7" t="n"/>
      <c r="B172" s="8">
        <f>IF($A172="","",IFERROR(VLOOKUP($A172,PERSONEL!$A$2:$C$300,2,0),""))</f>
        <v/>
      </c>
      <c r="C172" s="9">
        <f>IF($A172="","",IFERROR(VLOOKUP($A172,PERSONEL!$A$2:$C$300,3,0),""))</f>
        <v/>
      </c>
      <c r="D172" s="10" t="n"/>
      <c r="E172" s="7" t="n"/>
      <c r="F172" s="7" t="n"/>
      <c r="G172" s="7" t="n"/>
      <c r="H172" s="7" t="n"/>
      <c r="I172" s="9" t="n"/>
      <c r="J172" s="7" t="n"/>
      <c r="K172" s="7" t="n"/>
      <c r="L172" s="7" t="n"/>
      <c r="M172" s="9" t="n"/>
      <c r="N172" s="9">
        <f>IF($E172="","",IF($S172&lt;&gt;"ÖDEMEDE",0,MIN($R172,IF($J172="Oran",IFERROR($C172*$K172/$L172,0),$M172))))</f>
        <v/>
      </c>
      <c r="O172" s="9" t="n"/>
      <c r="P172" s="9">
        <f>IF($E172="","",SUMIFS('AYLIK KESİNTİLER'!$E$2:$E$5000,'AYLIK KESİNTİLER'!$A$2:$A$5000,$A172,'AYLIK KESİNTİLER'!$B$2:$B$5000,$E172))</f>
        <v/>
      </c>
      <c r="Q172" s="9">
        <f>IF($E172="","",$O172+$P172)</f>
        <v/>
      </c>
      <c r="R172" s="9">
        <f>IF($E172="","",$I172-$Q172)</f>
        <v/>
      </c>
      <c r="S172" s="12">
        <f>IF($E172="","",IF($R172&lt;=0,"KAPANDI",IF(COUNTIFS($A$2:$A$300,$A172,$F$2:$F$300,"&lt;"&amp;$F172,$R$2:$R$300,"&gt;0")=0,"ÖDEMEDE","SIRADA")))</f>
        <v/>
      </c>
      <c r="T172" s="7" t="n"/>
      <c r="U172" s="7" t="n"/>
      <c r="V172">
        <f>IF($E172="","",$A172&amp;"|"&amp;$S172)</f>
        <v/>
      </c>
    </row>
    <row r="173">
      <c r="A173" s="7" t="n"/>
      <c r="B173" s="8">
        <f>IF($A173="","",IFERROR(VLOOKUP($A173,PERSONEL!$A$2:$C$300,2,0),""))</f>
        <v/>
      </c>
      <c r="C173" s="9">
        <f>IF($A173="","",IFERROR(VLOOKUP($A173,PERSONEL!$A$2:$C$300,3,0),""))</f>
        <v/>
      </c>
      <c r="D173" s="10" t="n"/>
      <c r="E173" s="7" t="n"/>
      <c r="F173" s="7" t="n"/>
      <c r="G173" s="7" t="n"/>
      <c r="H173" s="7" t="n"/>
      <c r="I173" s="9" t="n"/>
      <c r="J173" s="7" t="n"/>
      <c r="K173" s="7" t="n"/>
      <c r="L173" s="7" t="n"/>
      <c r="M173" s="9" t="n"/>
      <c r="N173" s="9">
        <f>IF($E173="","",IF($S173&lt;&gt;"ÖDEMEDE",0,MIN($R173,IF($J173="Oran",IFERROR($C173*$K173/$L173,0),$M173))))</f>
        <v/>
      </c>
      <c r="O173" s="9" t="n"/>
      <c r="P173" s="9">
        <f>IF($E173="","",SUMIFS('AYLIK KESİNTİLER'!$E$2:$E$5000,'AYLIK KESİNTİLER'!$A$2:$A$5000,$A173,'AYLIK KESİNTİLER'!$B$2:$B$5000,$E173))</f>
        <v/>
      </c>
      <c r="Q173" s="9">
        <f>IF($E173="","",$O173+$P173)</f>
        <v/>
      </c>
      <c r="R173" s="9">
        <f>IF($E173="","",$I173-$Q173)</f>
        <v/>
      </c>
      <c r="S173" s="12">
        <f>IF($E173="","",IF($R173&lt;=0,"KAPANDI",IF(COUNTIFS($A$2:$A$300,$A173,$F$2:$F$300,"&lt;"&amp;$F173,$R$2:$R$300,"&gt;0")=0,"ÖDEMEDE","SIRADA")))</f>
        <v/>
      </c>
      <c r="T173" s="7" t="n"/>
      <c r="U173" s="7" t="n"/>
      <c r="V173">
        <f>IF($E173="","",$A173&amp;"|"&amp;$S173)</f>
        <v/>
      </c>
    </row>
    <row r="174">
      <c r="A174" s="7" t="n"/>
      <c r="B174" s="8">
        <f>IF($A174="","",IFERROR(VLOOKUP($A174,PERSONEL!$A$2:$C$300,2,0),""))</f>
        <v/>
      </c>
      <c r="C174" s="9">
        <f>IF($A174="","",IFERROR(VLOOKUP($A174,PERSONEL!$A$2:$C$300,3,0),""))</f>
        <v/>
      </c>
      <c r="D174" s="10" t="n"/>
      <c r="E174" s="7" t="n"/>
      <c r="F174" s="7" t="n"/>
      <c r="G174" s="7" t="n"/>
      <c r="H174" s="7" t="n"/>
      <c r="I174" s="9" t="n"/>
      <c r="J174" s="7" t="n"/>
      <c r="K174" s="7" t="n"/>
      <c r="L174" s="7" t="n"/>
      <c r="M174" s="9" t="n"/>
      <c r="N174" s="9">
        <f>IF($E174="","",IF($S174&lt;&gt;"ÖDEMEDE",0,MIN($R174,IF($J174="Oran",IFERROR($C174*$K174/$L174,0),$M174))))</f>
        <v/>
      </c>
      <c r="O174" s="9" t="n"/>
      <c r="P174" s="9">
        <f>IF($E174="","",SUMIFS('AYLIK KESİNTİLER'!$E$2:$E$5000,'AYLIK KESİNTİLER'!$A$2:$A$5000,$A174,'AYLIK KESİNTİLER'!$B$2:$B$5000,$E174))</f>
        <v/>
      </c>
      <c r="Q174" s="9">
        <f>IF($E174="","",$O174+$P174)</f>
        <v/>
      </c>
      <c r="R174" s="9">
        <f>IF($E174="","",$I174-$Q174)</f>
        <v/>
      </c>
      <c r="S174" s="12">
        <f>IF($E174="","",IF($R174&lt;=0,"KAPANDI",IF(COUNTIFS($A$2:$A$300,$A174,$F$2:$F$300,"&lt;"&amp;$F174,$R$2:$R$300,"&gt;0")=0,"ÖDEMEDE","SIRADA")))</f>
        <v/>
      </c>
      <c r="T174" s="7" t="n"/>
      <c r="U174" s="7" t="n"/>
      <c r="V174">
        <f>IF($E174="","",$A174&amp;"|"&amp;$S174)</f>
        <v/>
      </c>
    </row>
    <row r="175">
      <c r="A175" s="7" t="n"/>
      <c r="B175" s="8">
        <f>IF($A175="","",IFERROR(VLOOKUP($A175,PERSONEL!$A$2:$C$300,2,0),""))</f>
        <v/>
      </c>
      <c r="C175" s="9">
        <f>IF($A175="","",IFERROR(VLOOKUP($A175,PERSONEL!$A$2:$C$300,3,0),""))</f>
        <v/>
      </c>
      <c r="D175" s="10" t="n"/>
      <c r="E175" s="7" t="n"/>
      <c r="F175" s="7" t="n"/>
      <c r="G175" s="7" t="n"/>
      <c r="H175" s="7" t="n"/>
      <c r="I175" s="9" t="n"/>
      <c r="J175" s="7" t="n"/>
      <c r="K175" s="7" t="n"/>
      <c r="L175" s="7" t="n"/>
      <c r="M175" s="9" t="n"/>
      <c r="N175" s="9">
        <f>IF($E175="","",IF($S175&lt;&gt;"ÖDEMEDE",0,MIN($R175,IF($J175="Oran",IFERROR($C175*$K175/$L175,0),$M175))))</f>
        <v/>
      </c>
      <c r="O175" s="9" t="n"/>
      <c r="P175" s="9">
        <f>IF($E175="","",SUMIFS('AYLIK KESİNTİLER'!$E$2:$E$5000,'AYLIK KESİNTİLER'!$A$2:$A$5000,$A175,'AYLIK KESİNTİLER'!$B$2:$B$5000,$E175))</f>
        <v/>
      </c>
      <c r="Q175" s="9">
        <f>IF($E175="","",$O175+$P175)</f>
        <v/>
      </c>
      <c r="R175" s="9">
        <f>IF($E175="","",$I175-$Q175)</f>
        <v/>
      </c>
      <c r="S175" s="12">
        <f>IF($E175="","",IF($R175&lt;=0,"KAPANDI",IF(COUNTIFS($A$2:$A$300,$A175,$F$2:$F$300,"&lt;"&amp;$F175,$R$2:$R$300,"&gt;0")=0,"ÖDEMEDE","SIRADA")))</f>
        <v/>
      </c>
      <c r="T175" s="7" t="n"/>
      <c r="U175" s="7" t="n"/>
      <c r="V175">
        <f>IF($E175="","",$A175&amp;"|"&amp;$S175)</f>
        <v/>
      </c>
    </row>
    <row r="176">
      <c r="A176" s="7" t="n"/>
      <c r="B176" s="8">
        <f>IF($A176="","",IFERROR(VLOOKUP($A176,PERSONEL!$A$2:$C$300,2,0),""))</f>
        <v/>
      </c>
      <c r="C176" s="9">
        <f>IF($A176="","",IFERROR(VLOOKUP($A176,PERSONEL!$A$2:$C$300,3,0),""))</f>
        <v/>
      </c>
      <c r="D176" s="10" t="n"/>
      <c r="E176" s="7" t="n"/>
      <c r="F176" s="7" t="n"/>
      <c r="G176" s="7" t="n"/>
      <c r="H176" s="7" t="n"/>
      <c r="I176" s="9" t="n"/>
      <c r="J176" s="7" t="n"/>
      <c r="K176" s="7" t="n"/>
      <c r="L176" s="7" t="n"/>
      <c r="M176" s="9" t="n"/>
      <c r="N176" s="9">
        <f>IF($E176="","",IF($S176&lt;&gt;"ÖDEMEDE",0,MIN($R176,IF($J176="Oran",IFERROR($C176*$K176/$L176,0),$M176))))</f>
        <v/>
      </c>
      <c r="O176" s="9" t="n"/>
      <c r="P176" s="9">
        <f>IF($E176="","",SUMIFS('AYLIK KESİNTİLER'!$E$2:$E$5000,'AYLIK KESİNTİLER'!$A$2:$A$5000,$A176,'AYLIK KESİNTİLER'!$B$2:$B$5000,$E176))</f>
        <v/>
      </c>
      <c r="Q176" s="9">
        <f>IF($E176="","",$O176+$P176)</f>
        <v/>
      </c>
      <c r="R176" s="9">
        <f>IF($E176="","",$I176-$Q176)</f>
        <v/>
      </c>
      <c r="S176" s="12">
        <f>IF($E176="","",IF($R176&lt;=0,"KAPANDI",IF(COUNTIFS($A$2:$A$300,$A176,$F$2:$F$300,"&lt;"&amp;$F176,$R$2:$R$300,"&gt;0")=0,"ÖDEMEDE","SIRADA")))</f>
        <v/>
      </c>
      <c r="T176" s="7" t="n"/>
      <c r="U176" s="7" t="n"/>
      <c r="V176">
        <f>IF($E176="","",$A176&amp;"|"&amp;$S176)</f>
        <v/>
      </c>
    </row>
    <row r="177">
      <c r="A177" s="7" t="n"/>
      <c r="B177" s="8">
        <f>IF($A177="","",IFERROR(VLOOKUP($A177,PERSONEL!$A$2:$C$300,2,0),""))</f>
        <v/>
      </c>
      <c r="C177" s="9">
        <f>IF($A177="","",IFERROR(VLOOKUP($A177,PERSONEL!$A$2:$C$300,3,0),""))</f>
        <v/>
      </c>
      <c r="D177" s="10" t="n"/>
      <c r="E177" s="7" t="n"/>
      <c r="F177" s="7" t="n"/>
      <c r="G177" s="7" t="n"/>
      <c r="H177" s="7" t="n"/>
      <c r="I177" s="9" t="n"/>
      <c r="J177" s="7" t="n"/>
      <c r="K177" s="7" t="n"/>
      <c r="L177" s="7" t="n"/>
      <c r="M177" s="9" t="n"/>
      <c r="N177" s="9">
        <f>IF($E177="","",IF($S177&lt;&gt;"ÖDEMEDE",0,MIN($R177,IF($J177="Oran",IFERROR($C177*$K177/$L177,0),$M177))))</f>
        <v/>
      </c>
      <c r="O177" s="9" t="n"/>
      <c r="P177" s="9">
        <f>IF($E177="","",SUMIFS('AYLIK KESİNTİLER'!$E$2:$E$5000,'AYLIK KESİNTİLER'!$A$2:$A$5000,$A177,'AYLIK KESİNTİLER'!$B$2:$B$5000,$E177))</f>
        <v/>
      </c>
      <c r="Q177" s="9">
        <f>IF($E177="","",$O177+$P177)</f>
        <v/>
      </c>
      <c r="R177" s="9">
        <f>IF($E177="","",$I177-$Q177)</f>
        <v/>
      </c>
      <c r="S177" s="12">
        <f>IF($E177="","",IF($R177&lt;=0,"KAPANDI",IF(COUNTIFS($A$2:$A$300,$A177,$F$2:$F$300,"&lt;"&amp;$F177,$R$2:$R$300,"&gt;0")=0,"ÖDEMEDE","SIRADA")))</f>
        <v/>
      </c>
      <c r="T177" s="7" t="n"/>
      <c r="U177" s="7" t="n"/>
      <c r="V177">
        <f>IF($E177="","",$A177&amp;"|"&amp;$S177)</f>
        <v/>
      </c>
    </row>
    <row r="178">
      <c r="A178" s="7" t="n"/>
      <c r="B178" s="8">
        <f>IF($A178="","",IFERROR(VLOOKUP($A178,PERSONEL!$A$2:$C$300,2,0),""))</f>
        <v/>
      </c>
      <c r="C178" s="9">
        <f>IF($A178="","",IFERROR(VLOOKUP($A178,PERSONEL!$A$2:$C$300,3,0),""))</f>
        <v/>
      </c>
      <c r="D178" s="10" t="n"/>
      <c r="E178" s="7" t="n"/>
      <c r="F178" s="7" t="n"/>
      <c r="G178" s="7" t="n"/>
      <c r="H178" s="7" t="n"/>
      <c r="I178" s="9" t="n"/>
      <c r="J178" s="7" t="n"/>
      <c r="K178" s="7" t="n"/>
      <c r="L178" s="7" t="n"/>
      <c r="M178" s="9" t="n"/>
      <c r="N178" s="9">
        <f>IF($E178="","",IF($S178&lt;&gt;"ÖDEMEDE",0,MIN($R178,IF($J178="Oran",IFERROR($C178*$K178/$L178,0),$M178))))</f>
        <v/>
      </c>
      <c r="O178" s="9" t="n"/>
      <c r="P178" s="9">
        <f>IF($E178="","",SUMIFS('AYLIK KESİNTİLER'!$E$2:$E$5000,'AYLIK KESİNTİLER'!$A$2:$A$5000,$A178,'AYLIK KESİNTİLER'!$B$2:$B$5000,$E178))</f>
        <v/>
      </c>
      <c r="Q178" s="9">
        <f>IF($E178="","",$O178+$P178)</f>
        <v/>
      </c>
      <c r="R178" s="9">
        <f>IF($E178="","",$I178-$Q178)</f>
        <v/>
      </c>
      <c r="S178" s="12">
        <f>IF($E178="","",IF($R178&lt;=0,"KAPANDI",IF(COUNTIFS($A$2:$A$300,$A178,$F$2:$F$300,"&lt;"&amp;$F178,$R$2:$R$300,"&gt;0")=0,"ÖDEMEDE","SIRADA")))</f>
        <v/>
      </c>
      <c r="T178" s="7" t="n"/>
      <c r="U178" s="7" t="n"/>
      <c r="V178">
        <f>IF($E178="","",$A178&amp;"|"&amp;$S178)</f>
        <v/>
      </c>
    </row>
    <row r="179">
      <c r="A179" s="7" t="n"/>
      <c r="B179" s="8">
        <f>IF($A179="","",IFERROR(VLOOKUP($A179,PERSONEL!$A$2:$C$300,2,0),""))</f>
        <v/>
      </c>
      <c r="C179" s="9">
        <f>IF($A179="","",IFERROR(VLOOKUP($A179,PERSONEL!$A$2:$C$300,3,0),""))</f>
        <v/>
      </c>
      <c r="D179" s="10" t="n"/>
      <c r="E179" s="7" t="n"/>
      <c r="F179" s="7" t="n"/>
      <c r="G179" s="7" t="n"/>
      <c r="H179" s="7" t="n"/>
      <c r="I179" s="9" t="n"/>
      <c r="J179" s="7" t="n"/>
      <c r="K179" s="7" t="n"/>
      <c r="L179" s="7" t="n"/>
      <c r="M179" s="9" t="n"/>
      <c r="N179" s="9">
        <f>IF($E179="","",IF($S179&lt;&gt;"ÖDEMEDE",0,MIN($R179,IF($J179="Oran",IFERROR($C179*$K179/$L179,0),$M179))))</f>
        <v/>
      </c>
      <c r="O179" s="9" t="n"/>
      <c r="P179" s="9">
        <f>IF($E179="","",SUMIFS('AYLIK KESİNTİLER'!$E$2:$E$5000,'AYLIK KESİNTİLER'!$A$2:$A$5000,$A179,'AYLIK KESİNTİLER'!$B$2:$B$5000,$E179))</f>
        <v/>
      </c>
      <c r="Q179" s="9">
        <f>IF($E179="","",$O179+$P179)</f>
        <v/>
      </c>
      <c r="R179" s="9">
        <f>IF($E179="","",$I179-$Q179)</f>
        <v/>
      </c>
      <c r="S179" s="12">
        <f>IF($E179="","",IF($R179&lt;=0,"KAPANDI",IF(COUNTIFS($A$2:$A$300,$A179,$F$2:$F$300,"&lt;"&amp;$F179,$R$2:$R$300,"&gt;0")=0,"ÖDEMEDE","SIRADA")))</f>
        <v/>
      </c>
      <c r="T179" s="7" t="n"/>
      <c r="U179" s="7" t="n"/>
      <c r="V179">
        <f>IF($E179="","",$A179&amp;"|"&amp;$S179)</f>
        <v/>
      </c>
    </row>
    <row r="180">
      <c r="A180" s="7" t="n"/>
      <c r="B180" s="8">
        <f>IF($A180="","",IFERROR(VLOOKUP($A180,PERSONEL!$A$2:$C$300,2,0),""))</f>
        <v/>
      </c>
      <c r="C180" s="9">
        <f>IF($A180="","",IFERROR(VLOOKUP($A180,PERSONEL!$A$2:$C$300,3,0),""))</f>
        <v/>
      </c>
      <c r="D180" s="10" t="n"/>
      <c r="E180" s="7" t="n"/>
      <c r="F180" s="7" t="n"/>
      <c r="G180" s="7" t="n"/>
      <c r="H180" s="7" t="n"/>
      <c r="I180" s="9" t="n"/>
      <c r="J180" s="7" t="n"/>
      <c r="K180" s="7" t="n"/>
      <c r="L180" s="7" t="n"/>
      <c r="M180" s="9" t="n"/>
      <c r="N180" s="9">
        <f>IF($E180="","",IF($S180&lt;&gt;"ÖDEMEDE",0,MIN($R180,IF($J180="Oran",IFERROR($C180*$K180/$L180,0),$M180))))</f>
        <v/>
      </c>
      <c r="O180" s="9" t="n"/>
      <c r="P180" s="9">
        <f>IF($E180="","",SUMIFS('AYLIK KESİNTİLER'!$E$2:$E$5000,'AYLIK KESİNTİLER'!$A$2:$A$5000,$A180,'AYLIK KESİNTİLER'!$B$2:$B$5000,$E180))</f>
        <v/>
      </c>
      <c r="Q180" s="9">
        <f>IF($E180="","",$O180+$P180)</f>
        <v/>
      </c>
      <c r="R180" s="9">
        <f>IF($E180="","",$I180-$Q180)</f>
        <v/>
      </c>
      <c r="S180" s="12">
        <f>IF($E180="","",IF($R180&lt;=0,"KAPANDI",IF(COUNTIFS($A$2:$A$300,$A180,$F$2:$F$300,"&lt;"&amp;$F180,$R$2:$R$300,"&gt;0")=0,"ÖDEMEDE","SIRADA")))</f>
        <v/>
      </c>
      <c r="T180" s="7" t="n"/>
      <c r="U180" s="7" t="n"/>
      <c r="V180">
        <f>IF($E180="","",$A180&amp;"|"&amp;$S180)</f>
        <v/>
      </c>
    </row>
    <row r="181">
      <c r="A181" s="7" t="n"/>
      <c r="B181" s="8">
        <f>IF($A181="","",IFERROR(VLOOKUP($A181,PERSONEL!$A$2:$C$300,2,0),""))</f>
        <v/>
      </c>
      <c r="C181" s="9">
        <f>IF($A181="","",IFERROR(VLOOKUP($A181,PERSONEL!$A$2:$C$300,3,0),""))</f>
        <v/>
      </c>
      <c r="D181" s="10" t="n"/>
      <c r="E181" s="7" t="n"/>
      <c r="F181" s="7" t="n"/>
      <c r="G181" s="7" t="n"/>
      <c r="H181" s="7" t="n"/>
      <c r="I181" s="9" t="n"/>
      <c r="J181" s="7" t="n"/>
      <c r="K181" s="7" t="n"/>
      <c r="L181" s="7" t="n"/>
      <c r="M181" s="9" t="n"/>
      <c r="N181" s="9">
        <f>IF($E181="","",IF($S181&lt;&gt;"ÖDEMEDE",0,MIN($R181,IF($J181="Oran",IFERROR($C181*$K181/$L181,0),$M181))))</f>
        <v/>
      </c>
      <c r="O181" s="9" t="n"/>
      <c r="P181" s="9">
        <f>IF($E181="","",SUMIFS('AYLIK KESİNTİLER'!$E$2:$E$5000,'AYLIK KESİNTİLER'!$A$2:$A$5000,$A181,'AYLIK KESİNTİLER'!$B$2:$B$5000,$E181))</f>
        <v/>
      </c>
      <c r="Q181" s="9">
        <f>IF($E181="","",$O181+$P181)</f>
        <v/>
      </c>
      <c r="R181" s="9">
        <f>IF($E181="","",$I181-$Q181)</f>
        <v/>
      </c>
      <c r="S181" s="12">
        <f>IF($E181="","",IF($R181&lt;=0,"KAPANDI",IF(COUNTIFS($A$2:$A$300,$A181,$F$2:$F$300,"&lt;"&amp;$F181,$R$2:$R$300,"&gt;0")=0,"ÖDEMEDE","SIRADA")))</f>
        <v/>
      </c>
      <c r="T181" s="7" t="n"/>
      <c r="U181" s="7" t="n"/>
      <c r="V181">
        <f>IF($E181="","",$A181&amp;"|"&amp;$S181)</f>
        <v/>
      </c>
    </row>
    <row r="182">
      <c r="A182" s="7" t="n"/>
      <c r="B182" s="8">
        <f>IF($A182="","",IFERROR(VLOOKUP($A182,PERSONEL!$A$2:$C$300,2,0),""))</f>
        <v/>
      </c>
      <c r="C182" s="9">
        <f>IF($A182="","",IFERROR(VLOOKUP($A182,PERSONEL!$A$2:$C$300,3,0),""))</f>
        <v/>
      </c>
      <c r="D182" s="10" t="n"/>
      <c r="E182" s="7" t="n"/>
      <c r="F182" s="7" t="n"/>
      <c r="G182" s="7" t="n"/>
      <c r="H182" s="7" t="n"/>
      <c r="I182" s="9" t="n"/>
      <c r="J182" s="7" t="n"/>
      <c r="K182" s="7" t="n"/>
      <c r="L182" s="7" t="n"/>
      <c r="M182" s="9" t="n"/>
      <c r="N182" s="9">
        <f>IF($E182="","",IF($S182&lt;&gt;"ÖDEMEDE",0,MIN($R182,IF($J182="Oran",IFERROR($C182*$K182/$L182,0),$M182))))</f>
        <v/>
      </c>
      <c r="O182" s="9" t="n"/>
      <c r="P182" s="9">
        <f>IF($E182="","",SUMIFS('AYLIK KESİNTİLER'!$E$2:$E$5000,'AYLIK KESİNTİLER'!$A$2:$A$5000,$A182,'AYLIK KESİNTİLER'!$B$2:$B$5000,$E182))</f>
        <v/>
      </c>
      <c r="Q182" s="9">
        <f>IF($E182="","",$O182+$P182)</f>
        <v/>
      </c>
      <c r="R182" s="9">
        <f>IF($E182="","",$I182-$Q182)</f>
        <v/>
      </c>
      <c r="S182" s="12">
        <f>IF($E182="","",IF($R182&lt;=0,"KAPANDI",IF(COUNTIFS($A$2:$A$300,$A182,$F$2:$F$300,"&lt;"&amp;$F182,$R$2:$R$300,"&gt;0")=0,"ÖDEMEDE","SIRADA")))</f>
        <v/>
      </c>
      <c r="T182" s="7" t="n"/>
      <c r="U182" s="7" t="n"/>
      <c r="V182">
        <f>IF($E182="","",$A182&amp;"|"&amp;$S182)</f>
        <v/>
      </c>
    </row>
    <row r="183">
      <c r="A183" s="7" t="n"/>
      <c r="B183" s="8">
        <f>IF($A183="","",IFERROR(VLOOKUP($A183,PERSONEL!$A$2:$C$300,2,0),""))</f>
        <v/>
      </c>
      <c r="C183" s="9">
        <f>IF($A183="","",IFERROR(VLOOKUP($A183,PERSONEL!$A$2:$C$300,3,0),""))</f>
        <v/>
      </c>
      <c r="D183" s="10" t="n"/>
      <c r="E183" s="7" t="n"/>
      <c r="F183" s="7" t="n"/>
      <c r="G183" s="7" t="n"/>
      <c r="H183" s="7" t="n"/>
      <c r="I183" s="9" t="n"/>
      <c r="J183" s="7" t="n"/>
      <c r="K183" s="7" t="n"/>
      <c r="L183" s="7" t="n"/>
      <c r="M183" s="9" t="n"/>
      <c r="N183" s="9">
        <f>IF($E183="","",IF($S183&lt;&gt;"ÖDEMEDE",0,MIN($R183,IF($J183="Oran",IFERROR($C183*$K183/$L183,0),$M183))))</f>
        <v/>
      </c>
      <c r="O183" s="9" t="n"/>
      <c r="P183" s="9">
        <f>IF($E183="","",SUMIFS('AYLIK KESİNTİLER'!$E$2:$E$5000,'AYLIK KESİNTİLER'!$A$2:$A$5000,$A183,'AYLIK KESİNTİLER'!$B$2:$B$5000,$E183))</f>
        <v/>
      </c>
      <c r="Q183" s="9">
        <f>IF($E183="","",$O183+$P183)</f>
        <v/>
      </c>
      <c r="R183" s="9">
        <f>IF($E183="","",$I183-$Q183)</f>
        <v/>
      </c>
      <c r="S183" s="12">
        <f>IF($E183="","",IF($R183&lt;=0,"KAPANDI",IF(COUNTIFS($A$2:$A$300,$A183,$F$2:$F$300,"&lt;"&amp;$F183,$R$2:$R$300,"&gt;0")=0,"ÖDEMEDE","SIRADA")))</f>
        <v/>
      </c>
      <c r="T183" s="7" t="n"/>
      <c r="U183" s="7" t="n"/>
      <c r="V183">
        <f>IF($E183="","",$A183&amp;"|"&amp;$S183)</f>
        <v/>
      </c>
    </row>
    <row r="184">
      <c r="A184" s="7" t="n"/>
      <c r="B184" s="8">
        <f>IF($A184="","",IFERROR(VLOOKUP($A184,PERSONEL!$A$2:$C$300,2,0),""))</f>
        <v/>
      </c>
      <c r="C184" s="9">
        <f>IF($A184="","",IFERROR(VLOOKUP($A184,PERSONEL!$A$2:$C$300,3,0),""))</f>
        <v/>
      </c>
      <c r="D184" s="10" t="n"/>
      <c r="E184" s="7" t="n"/>
      <c r="F184" s="7" t="n"/>
      <c r="G184" s="7" t="n"/>
      <c r="H184" s="7" t="n"/>
      <c r="I184" s="9" t="n"/>
      <c r="J184" s="7" t="n"/>
      <c r="K184" s="7" t="n"/>
      <c r="L184" s="7" t="n"/>
      <c r="M184" s="9" t="n"/>
      <c r="N184" s="9">
        <f>IF($E184="","",IF($S184&lt;&gt;"ÖDEMEDE",0,MIN($R184,IF($J184="Oran",IFERROR($C184*$K184/$L184,0),$M184))))</f>
        <v/>
      </c>
      <c r="O184" s="9" t="n"/>
      <c r="P184" s="9">
        <f>IF($E184="","",SUMIFS('AYLIK KESİNTİLER'!$E$2:$E$5000,'AYLIK KESİNTİLER'!$A$2:$A$5000,$A184,'AYLIK KESİNTİLER'!$B$2:$B$5000,$E184))</f>
        <v/>
      </c>
      <c r="Q184" s="9">
        <f>IF($E184="","",$O184+$P184)</f>
        <v/>
      </c>
      <c r="R184" s="9">
        <f>IF($E184="","",$I184-$Q184)</f>
        <v/>
      </c>
      <c r="S184" s="12">
        <f>IF($E184="","",IF($R184&lt;=0,"KAPANDI",IF(COUNTIFS($A$2:$A$300,$A184,$F$2:$F$300,"&lt;"&amp;$F184,$R$2:$R$300,"&gt;0")=0,"ÖDEMEDE","SIRADA")))</f>
        <v/>
      </c>
      <c r="T184" s="7" t="n"/>
      <c r="U184" s="7" t="n"/>
      <c r="V184">
        <f>IF($E184="","",$A184&amp;"|"&amp;$S184)</f>
        <v/>
      </c>
    </row>
    <row r="185">
      <c r="A185" s="7" t="n"/>
      <c r="B185" s="8">
        <f>IF($A185="","",IFERROR(VLOOKUP($A185,PERSONEL!$A$2:$C$300,2,0),""))</f>
        <v/>
      </c>
      <c r="C185" s="9">
        <f>IF($A185="","",IFERROR(VLOOKUP($A185,PERSONEL!$A$2:$C$300,3,0),""))</f>
        <v/>
      </c>
      <c r="D185" s="10" t="n"/>
      <c r="E185" s="7" t="n"/>
      <c r="F185" s="7" t="n"/>
      <c r="G185" s="7" t="n"/>
      <c r="H185" s="7" t="n"/>
      <c r="I185" s="9" t="n"/>
      <c r="J185" s="7" t="n"/>
      <c r="K185" s="7" t="n"/>
      <c r="L185" s="7" t="n"/>
      <c r="M185" s="9" t="n"/>
      <c r="N185" s="9">
        <f>IF($E185="","",IF($S185&lt;&gt;"ÖDEMEDE",0,MIN($R185,IF($J185="Oran",IFERROR($C185*$K185/$L185,0),$M185))))</f>
        <v/>
      </c>
      <c r="O185" s="9" t="n"/>
      <c r="P185" s="9">
        <f>IF($E185="","",SUMIFS('AYLIK KESİNTİLER'!$E$2:$E$5000,'AYLIK KESİNTİLER'!$A$2:$A$5000,$A185,'AYLIK KESİNTİLER'!$B$2:$B$5000,$E185))</f>
        <v/>
      </c>
      <c r="Q185" s="9">
        <f>IF($E185="","",$O185+$P185)</f>
        <v/>
      </c>
      <c r="R185" s="9">
        <f>IF($E185="","",$I185-$Q185)</f>
        <v/>
      </c>
      <c r="S185" s="12">
        <f>IF($E185="","",IF($R185&lt;=0,"KAPANDI",IF(COUNTIFS($A$2:$A$300,$A185,$F$2:$F$300,"&lt;"&amp;$F185,$R$2:$R$300,"&gt;0")=0,"ÖDEMEDE","SIRADA")))</f>
        <v/>
      </c>
      <c r="T185" s="7" t="n"/>
      <c r="U185" s="7" t="n"/>
      <c r="V185">
        <f>IF($E185="","",$A185&amp;"|"&amp;$S185)</f>
        <v/>
      </c>
    </row>
    <row r="186">
      <c r="A186" s="7" t="n"/>
      <c r="B186" s="8">
        <f>IF($A186="","",IFERROR(VLOOKUP($A186,PERSONEL!$A$2:$C$300,2,0),""))</f>
        <v/>
      </c>
      <c r="C186" s="9">
        <f>IF($A186="","",IFERROR(VLOOKUP($A186,PERSONEL!$A$2:$C$300,3,0),""))</f>
        <v/>
      </c>
      <c r="D186" s="10" t="n"/>
      <c r="E186" s="7" t="n"/>
      <c r="F186" s="7" t="n"/>
      <c r="G186" s="7" t="n"/>
      <c r="H186" s="7" t="n"/>
      <c r="I186" s="9" t="n"/>
      <c r="J186" s="7" t="n"/>
      <c r="K186" s="7" t="n"/>
      <c r="L186" s="7" t="n"/>
      <c r="M186" s="9" t="n"/>
      <c r="N186" s="9">
        <f>IF($E186="","",IF($S186&lt;&gt;"ÖDEMEDE",0,MIN($R186,IF($J186="Oran",IFERROR($C186*$K186/$L186,0),$M186))))</f>
        <v/>
      </c>
      <c r="O186" s="9" t="n"/>
      <c r="P186" s="9">
        <f>IF($E186="","",SUMIFS('AYLIK KESİNTİLER'!$E$2:$E$5000,'AYLIK KESİNTİLER'!$A$2:$A$5000,$A186,'AYLIK KESİNTİLER'!$B$2:$B$5000,$E186))</f>
        <v/>
      </c>
      <c r="Q186" s="9">
        <f>IF($E186="","",$O186+$P186)</f>
        <v/>
      </c>
      <c r="R186" s="9">
        <f>IF($E186="","",$I186-$Q186)</f>
        <v/>
      </c>
      <c r="S186" s="12">
        <f>IF($E186="","",IF($R186&lt;=0,"KAPANDI",IF(COUNTIFS($A$2:$A$300,$A186,$F$2:$F$300,"&lt;"&amp;$F186,$R$2:$R$300,"&gt;0")=0,"ÖDEMEDE","SIRADA")))</f>
        <v/>
      </c>
      <c r="T186" s="7" t="n"/>
      <c r="U186" s="7" t="n"/>
      <c r="V186">
        <f>IF($E186="","",$A186&amp;"|"&amp;$S186)</f>
        <v/>
      </c>
    </row>
    <row r="187">
      <c r="A187" s="7" t="n"/>
      <c r="B187" s="8">
        <f>IF($A187="","",IFERROR(VLOOKUP($A187,PERSONEL!$A$2:$C$300,2,0),""))</f>
        <v/>
      </c>
      <c r="C187" s="9">
        <f>IF($A187="","",IFERROR(VLOOKUP($A187,PERSONEL!$A$2:$C$300,3,0),""))</f>
        <v/>
      </c>
      <c r="D187" s="10" t="n"/>
      <c r="E187" s="7" t="n"/>
      <c r="F187" s="7" t="n"/>
      <c r="G187" s="7" t="n"/>
      <c r="H187" s="7" t="n"/>
      <c r="I187" s="9" t="n"/>
      <c r="J187" s="7" t="n"/>
      <c r="K187" s="7" t="n"/>
      <c r="L187" s="7" t="n"/>
      <c r="M187" s="9" t="n"/>
      <c r="N187" s="9">
        <f>IF($E187="","",IF($S187&lt;&gt;"ÖDEMEDE",0,MIN($R187,IF($J187="Oran",IFERROR($C187*$K187/$L187,0),$M187))))</f>
        <v/>
      </c>
      <c r="O187" s="9" t="n"/>
      <c r="P187" s="9">
        <f>IF($E187="","",SUMIFS('AYLIK KESİNTİLER'!$E$2:$E$5000,'AYLIK KESİNTİLER'!$A$2:$A$5000,$A187,'AYLIK KESİNTİLER'!$B$2:$B$5000,$E187))</f>
        <v/>
      </c>
      <c r="Q187" s="9">
        <f>IF($E187="","",$O187+$P187)</f>
        <v/>
      </c>
      <c r="R187" s="9">
        <f>IF($E187="","",$I187-$Q187)</f>
        <v/>
      </c>
      <c r="S187" s="12">
        <f>IF($E187="","",IF($R187&lt;=0,"KAPANDI",IF(COUNTIFS($A$2:$A$300,$A187,$F$2:$F$300,"&lt;"&amp;$F187,$R$2:$R$300,"&gt;0")=0,"ÖDEMEDE","SIRADA")))</f>
        <v/>
      </c>
      <c r="T187" s="7" t="n"/>
      <c r="U187" s="7" t="n"/>
      <c r="V187">
        <f>IF($E187="","",$A187&amp;"|"&amp;$S187)</f>
        <v/>
      </c>
    </row>
    <row r="188">
      <c r="A188" s="7" t="n"/>
      <c r="B188" s="8">
        <f>IF($A188="","",IFERROR(VLOOKUP($A188,PERSONEL!$A$2:$C$300,2,0),""))</f>
        <v/>
      </c>
      <c r="C188" s="9">
        <f>IF($A188="","",IFERROR(VLOOKUP($A188,PERSONEL!$A$2:$C$300,3,0),""))</f>
        <v/>
      </c>
      <c r="D188" s="10" t="n"/>
      <c r="E188" s="7" t="n"/>
      <c r="F188" s="7" t="n"/>
      <c r="G188" s="7" t="n"/>
      <c r="H188" s="7" t="n"/>
      <c r="I188" s="9" t="n"/>
      <c r="J188" s="7" t="n"/>
      <c r="K188" s="7" t="n"/>
      <c r="L188" s="7" t="n"/>
      <c r="M188" s="9" t="n"/>
      <c r="N188" s="9">
        <f>IF($E188="","",IF($S188&lt;&gt;"ÖDEMEDE",0,MIN($R188,IF($J188="Oran",IFERROR($C188*$K188/$L188,0),$M188))))</f>
        <v/>
      </c>
      <c r="O188" s="9" t="n"/>
      <c r="P188" s="9">
        <f>IF($E188="","",SUMIFS('AYLIK KESİNTİLER'!$E$2:$E$5000,'AYLIK KESİNTİLER'!$A$2:$A$5000,$A188,'AYLIK KESİNTİLER'!$B$2:$B$5000,$E188))</f>
        <v/>
      </c>
      <c r="Q188" s="9">
        <f>IF($E188="","",$O188+$P188)</f>
        <v/>
      </c>
      <c r="R188" s="9">
        <f>IF($E188="","",$I188-$Q188)</f>
        <v/>
      </c>
      <c r="S188" s="12">
        <f>IF($E188="","",IF($R188&lt;=0,"KAPANDI",IF(COUNTIFS($A$2:$A$300,$A188,$F$2:$F$300,"&lt;"&amp;$F188,$R$2:$R$300,"&gt;0")=0,"ÖDEMEDE","SIRADA")))</f>
        <v/>
      </c>
      <c r="T188" s="7" t="n"/>
      <c r="U188" s="7" t="n"/>
      <c r="V188">
        <f>IF($E188="","",$A188&amp;"|"&amp;$S188)</f>
        <v/>
      </c>
    </row>
    <row r="189">
      <c r="A189" s="7" t="n"/>
      <c r="B189" s="8">
        <f>IF($A189="","",IFERROR(VLOOKUP($A189,PERSONEL!$A$2:$C$300,2,0),""))</f>
        <v/>
      </c>
      <c r="C189" s="9">
        <f>IF($A189="","",IFERROR(VLOOKUP($A189,PERSONEL!$A$2:$C$300,3,0),""))</f>
        <v/>
      </c>
      <c r="D189" s="10" t="n"/>
      <c r="E189" s="7" t="n"/>
      <c r="F189" s="7" t="n"/>
      <c r="G189" s="7" t="n"/>
      <c r="H189" s="7" t="n"/>
      <c r="I189" s="9" t="n"/>
      <c r="J189" s="7" t="n"/>
      <c r="K189" s="7" t="n"/>
      <c r="L189" s="7" t="n"/>
      <c r="M189" s="9" t="n"/>
      <c r="N189" s="9">
        <f>IF($E189="","",IF($S189&lt;&gt;"ÖDEMEDE",0,MIN($R189,IF($J189="Oran",IFERROR($C189*$K189/$L189,0),$M189))))</f>
        <v/>
      </c>
      <c r="O189" s="9" t="n"/>
      <c r="P189" s="9">
        <f>IF($E189="","",SUMIFS('AYLIK KESİNTİLER'!$E$2:$E$5000,'AYLIK KESİNTİLER'!$A$2:$A$5000,$A189,'AYLIK KESİNTİLER'!$B$2:$B$5000,$E189))</f>
        <v/>
      </c>
      <c r="Q189" s="9">
        <f>IF($E189="","",$O189+$P189)</f>
        <v/>
      </c>
      <c r="R189" s="9">
        <f>IF($E189="","",$I189-$Q189)</f>
        <v/>
      </c>
      <c r="S189" s="12">
        <f>IF($E189="","",IF($R189&lt;=0,"KAPANDI",IF(COUNTIFS($A$2:$A$300,$A189,$F$2:$F$300,"&lt;"&amp;$F189,$R$2:$R$300,"&gt;0")=0,"ÖDEMEDE","SIRADA")))</f>
        <v/>
      </c>
      <c r="T189" s="7" t="n"/>
      <c r="U189" s="7" t="n"/>
      <c r="V189">
        <f>IF($E189="","",$A189&amp;"|"&amp;$S189)</f>
        <v/>
      </c>
    </row>
    <row r="190">
      <c r="A190" s="7" t="n"/>
      <c r="B190" s="8">
        <f>IF($A190="","",IFERROR(VLOOKUP($A190,PERSONEL!$A$2:$C$300,2,0),""))</f>
        <v/>
      </c>
      <c r="C190" s="9">
        <f>IF($A190="","",IFERROR(VLOOKUP($A190,PERSONEL!$A$2:$C$300,3,0),""))</f>
        <v/>
      </c>
      <c r="D190" s="10" t="n"/>
      <c r="E190" s="7" t="n"/>
      <c r="F190" s="7" t="n"/>
      <c r="G190" s="7" t="n"/>
      <c r="H190" s="7" t="n"/>
      <c r="I190" s="9" t="n"/>
      <c r="J190" s="7" t="n"/>
      <c r="K190" s="7" t="n"/>
      <c r="L190" s="7" t="n"/>
      <c r="M190" s="9" t="n"/>
      <c r="N190" s="9">
        <f>IF($E190="","",IF($S190&lt;&gt;"ÖDEMEDE",0,MIN($R190,IF($J190="Oran",IFERROR($C190*$K190/$L190,0),$M190))))</f>
        <v/>
      </c>
      <c r="O190" s="9" t="n"/>
      <c r="P190" s="9">
        <f>IF($E190="","",SUMIFS('AYLIK KESİNTİLER'!$E$2:$E$5000,'AYLIK KESİNTİLER'!$A$2:$A$5000,$A190,'AYLIK KESİNTİLER'!$B$2:$B$5000,$E190))</f>
        <v/>
      </c>
      <c r="Q190" s="9">
        <f>IF($E190="","",$O190+$P190)</f>
        <v/>
      </c>
      <c r="R190" s="9">
        <f>IF($E190="","",$I190-$Q190)</f>
        <v/>
      </c>
      <c r="S190" s="12">
        <f>IF($E190="","",IF($R190&lt;=0,"KAPANDI",IF(COUNTIFS($A$2:$A$300,$A190,$F$2:$F$300,"&lt;"&amp;$F190,$R$2:$R$300,"&gt;0")=0,"ÖDEMEDE","SIRADA")))</f>
        <v/>
      </c>
      <c r="T190" s="7" t="n"/>
      <c r="U190" s="7" t="n"/>
      <c r="V190">
        <f>IF($E190="","",$A190&amp;"|"&amp;$S190)</f>
        <v/>
      </c>
    </row>
    <row r="191">
      <c r="A191" s="7" t="n"/>
      <c r="B191" s="8">
        <f>IF($A191="","",IFERROR(VLOOKUP($A191,PERSONEL!$A$2:$C$300,2,0),""))</f>
        <v/>
      </c>
      <c r="C191" s="9">
        <f>IF($A191="","",IFERROR(VLOOKUP($A191,PERSONEL!$A$2:$C$300,3,0),""))</f>
        <v/>
      </c>
      <c r="D191" s="10" t="n"/>
      <c r="E191" s="7" t="n"/>
      <c r="F191" s="7" t="n"/>
      <c r="G191" s="7" t="n"/>
      <c r="H191" s="7" t="n"/>
      <c r="I191" s="9" t="n"/>
      <c r="J191" s="7" t="n"/>
      <c r="K191" s="7" t="n"/>
      <c r="L191" s="7" t="n"/>
      <c r="M191" s="9" t="n"/>
      <c r="N191" s="9">
        <f>IF($E191="","",IF($S191&lt;&gt;"ÖDEMEDE",0,MIN($R191,IF($J191="Oran",IFERROR($C191*$K191/$L191,0),$M191))))</f>
        <v/>
      </c>
      <c r="O191" s="9" t="n"/>
      <c r="P191" s="9">
        <f>IF($E191="","",SUMIFS('AYLIK KESİNTİLER'!$E$2:$E$5000,'AYLIK KESİNTİLER'!$A$2:$A$5000,$A191,'AYLIK KESİNTİLER'!$B$2:$B$5000,$E191))</f>
        <v/>
      </c>
      <c r="Q191" s="9">
        <f>IF($E191="","",$O191+$P191)</f>
        <v/>
      </c>
      <c r="R191" s="9">
        <f>IF($E191="","",$I191-$Q191)</f>
        <v/>
      </c>
      <c r="S191" s="12">
        <f>IF($E191="","",IF($R191&lt;=0,"KAPANDI",IF(COUNTIFS($A$2:$A$300,$A191,$F$2:$F$300,"&lt;"&amp;$F191,$R$2:$R$300,"&gt;0")=0,"ÖDEMEDE","SIRADA")))</f>
        <v/>
      </c>
      <c r="T191" s="7" t="n"/>
      <c r="U191" s="7" t="n"/>
      <c r="V191">
        <f>IF($E191="","",$A191&amp;"|"&amp;$S191)</f>
        <v/>
      </c>
    </row>
    <row r="192">
      <c r="A192" s="7" t="n"/>
      <c r="B192" s="8">
        <f>IF($A192="","",IFERROR(VLOOKUP($A192,PERSONEL!$A$2:$C$300,2,0),""))</f>
        <v/>
      </c>
      <c r="C192" s="9">
        <f>IF($A192="","",IFERROR(VLOOKUP($A192,PERSONEL!$A$2:$C$300,3,0),""))</f>
        <v/>
      </c>
      <c r="D192" s="10" t="n"/>
      <c r="E192" s="7" t="n"/>
      <c r="F192" s="7" t="n"/>
      <c r="G192" s="7" t="n"/>
      <c r="H192" s="7" t="n"/>
      <c r="I192" s="9" t="n"/>
      <c r="J192" s="7" t="n"/>
      <c r="K192" s="7" t="n"/>
      <c r="L192" s="7" t="n"/>
      <c r="M192" s="9" t="n"/>
      <c r="N192" s="9">
        <f>IF($E192="","",IF($S192&lt;&gt;"ÖDEMEDE",0,MIN($R192,IF($J192="Oran",IFERROR($C192*$K192/$L192,0),$M192))))</f>
        <v/>
      </c>
      <c r="O192" s="9" t="n"/>
      <c r="P192" s="9">
        <f>IF($E192="","",SUMIFS('AYLIK KESİNTİLER'!$E$2:$E$5000,'AYLIK KESİNTİLER'!$A$2:$A$5000,$A192,'AYLIK KESİNTİLER'!$B$2:$B$5000,$E192))</f>
        <v/>
      </c>
      <c r="Q192" s="9">
        <f>IF($E192="","",$O192+$P192)</f>
        <v/>
      </c>
      <c r="R192" s="9">
        <f>IF($E192="","",$I192-$Q192)</f>
        <v/>
      </c>
      <c r="S192" s="12">
        <f>IF($E192="","",IF($R192&lt;=0,"KAPANDI",IF(COUNTIFS($A$2:$A$300,$A192,$F$2:$F$300,"&lt;"&amp;$F192,$R$2:$R$300,"&gt;0")=0,"ÖDEMEDE","SIRADA")))</f>
        <v/>
      </c>
      <c r="T192" s="7" t="n"/>
      <c r="U192" s="7" t="n"/>
      <c r="V192">
        <f>IF($E192="","",$A192&amp;"|"&amp;$S192)</f>
        <v/>
      </c>
    </row>
    <row r="193">
      <c r="A193" s="7" t="n"/>
      <c r="B193" s="8">
        <f>IF($A193="","",IFERROR(VLOOKUP($A193,PERSONEL!$A$2:$C$300,2,0),""))</f>
        <v/>
      </c>
      <c r="C193" s="9">
        <f>IF($A193="","",IFERROR(VLOOKUP($A193,PERSONEL!$A$2:$C$300,3,0),""))</f>
        <v/>
      </c>
      <c r="D193" s="10" t="n"/>
      <c r="E193" s="7" t="n"/>
      <c r="F193" s="7" t="n"/>
      <c r="G193" s="7" t="n"/>
      <c r="H193" s="7" t="n"/>
      <c r="I193" s="9" t="n"/>
      <c r="J193" s="7" t="n"/>
      <c r="K193" s="7" t="n"/>
      <c r="L193" s="7" t="n"/>
      <c r="M193" s="9" t="n"/>
      <c r="N193" s="9">
        <f>IF($E193="","",IF($S193&lt;&gt;"ÖDEMEDE",0,MIN($R193,IF($J193="Oran",IFERROR($C193*$K193/$L193,0),$M193))))</f>
        <v/>
      </c>
      <c r="O193" s="9" t="n"/>
      <c r="P193" s="9">
        <f>IF($E193="","",SUMIFS('AYLIK KESİNTİLER'!$E$2:$E$5000,'AYLIK KESİNTİLER'!$A$2:$A$5000,$A193,'AYLIK KESİNTİLER'!$B$2:$B$5000,$E193))</f>
        <v/>
      </c>
      <c r="Q193" s="9">
        <f>IF($E193="","",$O193+$P193)</f>
        <v/>
      </c>
      <c r="R193" s="9">
        <f>IF($E193="","",$I193-$Q193)</f>
        <v/>
      </c>
      <c r="S193" s="12">
        <f>IF($E193="","",IF($R193&lt;=0,"KAPANDI",IF(COUNTIFS($A$2:$A$300,$A193,$F$2:$F$300,"&lt;"&amp;$F193,$R$2:$R$300,"&gt;0")=0,"ÖDEMEDE","SIRADA")))</f>
        <v/>
      </c>
      <c r="T193" s="7" t="n"/>
      <c r="U193" s="7" t="n"/>
      <c r="V193">
        <f>IF($E193="","",$A193&amp;"|"&amp;$S193)</f>
        <v/>
      </c>
    </row>
    <row r="194">
      <c r="A194" s="7" t="n"/>
      <c r="B194" s="8">
        <f>IF($A194="","",IFERROR(VLOOKUP($A194,PERSONEL!$A$2:$C$300,2,0),""))</f>
        <v/>
      </c>
      <c r="C194" s="9">
        <f>IF($A194="","",IFERROR(VLOOKUP($A194,PERSONEL!$A$2:$C$300,3,0),""))</f>
        <v/>
      </c>
      <c r="D194" s="10" t="n"/>
      <c r="E194" s="7" t="n"/>
      <c r="F194" s="7" t="n"/>
      <c r="G194" s="7" t="n"/>
      <c r="H194" s="7" t="n"/>
      <c r="I194" s="9" t="n"/>
      <c r="J194" s="7" t="n"/>
      <c r="K194" s="7" t="n"/>
      <c r="L194" s="7" t="n"/>
      <c r="M194" s="9" t="n"/>
      <c r="N194" s="9">
        <f>IF($E194="","",IF($S194&lt;&gt;"ÖDEMEDE",0,MIN($R194,IF($J194="Oran",IFERROR($C194*$K194/$L194,0),$M194))))</f>
        <v/>
      </c>
      <c r="O194" s="9" t="n"/>
      <c r="P194" s="9">
        <f>IF($E194="","",SUMIFS('AYLIK KESİNTİLER'!$E$2:$E$5000,'AYLIK KESİNTİLER'!$A$2:$A$5000,$A194,'AYLIK KESİNTİLER'!$B$2:$B$5000,$E194))</f>
        <v/>
      </c>
      <c r="Q194" s="9">
        <f>IF($E194="","",$O194+$P194)</f>
        <v/>
      </c>
      <c r="R194" s="9">
        <f>IF($E194="","",$I194-$Q194)</f>
        <v/>
      </c>
      <c r="S194" s="12">
        <f>IF($E194="","",IF($R194&lt;=0,"KAPANDI",IF(COUNTIFS($A$2:$A$300,$A194,$F$2:$F$300,"&lt;"&amp;$F194,$R$2:$R$300,"&gt;0")=0,"ÖDEMEDE","SIRADA")))</f>
        <v/>
      </c>
      <c r="T194" s="7" t="n"/>
      <c r="U194" s="7" t="n"/>
      <c r="V194">
        <f>IF($E194="","",$A194&amp;"|"&amp;$S194)</f>
        <v/>
      </c>
    </row>
    <row r="195">
      <c r="A195" s="7" t="n"/>
      <c r="B195" s="8">
        <f>IF($A195="","",IFERROR(VLOOKUP($A195,PERSONEL!$A$2:$C$300,2,0),""))</f>
        <v/>
      </c>
      <c r="C195" s="9">
        <f>IF($A195="","",IFERROR(VLOOKUP($A195,PERSONEL!$A$2:$C$300,3,0),""))</f>
        <v/>
      </c>
      <c r="D195" s="10" t="n"/>
      <c r="E195" s="7" t="n"/>
      <c r="F195" s="7" t="n"/>
      <c r="G195" s="7" t="n"/>
      <c r="H195" s="7" t="n"/>
      <c r="I195" s="9" t="n"/>
      <c r="J195" s="7" t="n"/>
      <c r="K195" s="7" t="n"/>
      <c r="L195" s="7" t="n"/>
      <c r="M195" s="9" t="n"/>
      <c r="N195" s="9">
        <f>IF($E195="","",IF($S195&lt;&gt;"ÖDEMEDE",0,MIN($R195,IF($J195="Oran",IFERROR($C195*$K195/$L195,0),$M195))))</f>
        <v/>
      </c>
      <c r="O195" s="9" t="n"/>
      <c r="P195" s="9">
        <f>IF($E195="","",SUMIFS('AYLIK KESİNTİLER'!$E$2:$E$5000,'AYLIK KESİNTİLER'!$A$2:$A$5000,$A195,'AYLIK KESİNTİLER'!$B$2:$B$5000,$E195))</f>
        <v/>
      </c>
      <c r="Q195" s="9">
        <f>IF($E195="","",$O195+$P195)</f>
        <v/>
      </c>
      <c r="R195" s="9">
        <f>IF($E195="","",$I195-$Q195)</f>
        <v/>
      </c>
      <c r="S195" s="12">
        <f>IF($E195="","",IF($R195&lt;=0,"KAPANDI",IF(COUNTIFS($A$2:$A$300,$A195,$F$2:$F$300,"&lt;"&amp;$F195,$R$2:$R$300,"&gt;0")=0,"ÖDEMEDE","SIRADA")))</f>
        <v/>
      </c>
      <c r="T195" s="7" t="n"/>
      <c r="U195" s="7" t="n"/>
      <c r="V195">
        <f>IF($E195="","",$A195&amp;"|"&amp;$S195)</f>
        <v/>
      </c>
    </row>
    <row r="196">
      <c r="A196" s="7" t="n"/>
      <c r="B196" s="8">
        <f>IF($A196="","",IFERROR(VLOOKUP($A196,PERSONEL!$A$2:$C$300,2,0),""))</f>
        <v/>
      </c>
      <c r="C196" s="9">
        <f>IF($A196="","",IFERROR(VLOOKUP($A196,PERSONEL!$A$2:$C$300,3,0),""))</f>
        <v/>
      </c>
      <c r="D196" s="10" t="n"/>
      <c r="E196" s="7" t="n"/>
      <c r="F196" s="7" t="n"/>
      <c r="G196" s="7" t="n"/>
      <c r="H196" s="7" t="n"/>
      <c r="I196" s="9" t="n"/>
      <c r="J196" s="7" t="n"/>
      <c r="K196" s="7" t="n"/>
      <c r="L196" s="7" t="n"/>
      <c r="M196" s="9" t="n"/>
      <c r="N196" s="9">
        <f>IF($E196="","",IF($S196&lt;&gt;"ÖDEMEDE",0,MIN($R196,IF($J196="Oran",IFERROR($C196*$K196/$L196,0),$M196))))</f>
        <v/>
      </c>
      <c r="O196" s="9" t="n"/>
      <c r="P196" s="9">
        <f>IF($E196="","",SUMIFS('AYLIK KESİNTİLER'!$E$2:$E$5000,'AYLIK KESİNTİLER'!$A$2:$A$5000,$A196,'AYLIK KESİNTİLER'!$B$2:$B$5000,$E196))</f>
        <v/>
      </c>
      <c r="Q196" s="9">
        <f>IF($E196="","",$O196+$P196)</f>
        <v/>
      </c>
      <c r="R196" s="9">
        <f>IF($E196="","",$I196-$Q196)</f>
        <v/>
      </c>
      <c r="S196" s="12">
        <f>IF($E196="","",IF($R196&lt;=0,"KAPANDI",IF(COUNTIFS($A$2:$A$300,$A196,$F$2:$F$300,"&lt;"&amp;$F196,$R$2:$R$300,"&gt;0")=0,"ÖDEMEDE","SIRADA")))</f>
        <v/>
      </c>
      <c r="T196" s="7" t="n"/>
      <c r="U196" s="7" t="n"/>
      <c r="V196">
        <f>IF($E196="","",$A196&amp;"|"&amp;$S196)</f>
        <v/>
      </c>
    </row>
    <row r="197">
      <c r="A197" s="7" t="n"/>
      <c r="B197" s="8">
        <f>IF($A197="","",IFERROR(VLOOKUP($A197,PERSONEL!$A$2:$C$300,2,0),""))</f>
        <v/>
      </c>
      <c r="C197" s="9">
        <f>IF($A197="","",IFERROR(VLOOKUP($A197,PERSONEL!$A$2:$C$300,3,0),""))</f>
        <v/>
      </c>
      <c r="D197" s="10" t="n"/>
      <c r="E197" s="7" t="n"/>
      <c r="F197" s="7" t="n"/>
      <c r="G197" s="7" t="n"/>
      <c r="H197" s="7" t="n"/>
      <c r="I197" s="9" t="n"/>
      <c r="J197" s="7" t="n"/>
      <c r="K197" s="7" t="n"/>
      <c r="L197" s="7" t="n"/>
      <c r="M197" s="9" t="n"/>
      <c r="N197" s="9">
        <f>IF($E197="","",IF($S197&lt;&gt;"ÖDEMEDE",0,MIN($R197,IF($J197="Oran",IFERROR($C197*$K197/$L197,0),$M197))))</f>
        <v/>
      </c>
      <c r="O197" s="9" t="n"/>
      <c r="P197" s="9">
        <f>IF($E197="","",SUMIFS('AYLIK KESİNTİLER'!$E$2:$E$5000,'AYLIK KESİNTİLER'!$A$2:$A$5000,$A197,'AYLIK KESİNTİLER'!$B$2:$B$5000,$E197))</f>
        <v/>
      </c>
      <c r="Q197" s="9">
        <f>IF($E197="","",$O197+$P197)</f>
        <v/>
      </c>
      <c r="R197" s="9">
        <f>IF($E197="","",$I197-$Q197)</f>
        <v/>
      </c>
      <c r="S197" s="12">
        <f>IF($E197="","",IF($R197&lt;=0,"KAPANDI",IF(COUNTIFS($A$2:$A$300,$A197,$F$2:$F$300,"&lt;"&amp;$F197,$R$2:$R$300,"&gt;0")=0,"ÖDEMEDE","SIRADA")))</f>
        <v/>
      </c>
      <c r="T197" s="7" t="n"/>
      <c r="U197" s="7" t="n"/>
      <c r="V197">
        <f>IF($E197="","",$A197&amp;"|"&amp;$S197)</f>
        <v/>
      </c>
    </row>
    <row r="198">
      <c r="A198" s="7" t="n"/>
      <c r="B198" s="8">
        <f>IF($A198="","",IFERROR(VLOOKUP($A198,PERSONEL!$A$2:$C$300,2,0),""))</f>
        <v/>
      </c>
      <c r="C198" s="9">
        <f>IF($A198="","",IFERROR(VLOOKUP($A198,PERSONEL!$A$2:$C$300,3,0),""))</f>
        <v/>
      </c>
      <c r="D198" s="10" t="n"/>
      <c r="E198" s="7" t="n"/>
      <c r="F198" s="7" t="n"/>
      <c r="G198" s="7" t="n"/>
      <c r="H198" s="7" t="n"/>
      <c r="I198" s="9" t="n"/>
      <c r="J198" s="7" t="n"/>
      <c r="K198" s="7" t="n"/>
      <c r="L198" s="7" t="n"/>
      <c r="M198" s="9" t="n"/>
      <c r="N198" s="9">
        <f>IF($E198="","",IF($S198&lt;&gt;"ÖDEMEDE",0,MIN($R198,IF($J198="Oran",IFERROR($C198*$K198/$L198,0),$M198))))</f>
        <v/>
      </c>
      <c r="O198" s="9" t="n"/>
      <c r="P198" s="9">
        <f>IF($E198="","",SUMIFS('AYLIK KESİNTİLER'!$E$2:$E$5000,'AYLIK KESİNTİLER'!$A$2:$A$5000,$A198,'AYLIK KESİNTİLER'!$B$2:$B$5000,$E198))</f>
        <v/>
      </c>
      <c r="Q198" s="9">
        <f>IF($E198="","",$O198+$P198)</f>
        <v/>
      </c>
      <c r="R198" s="9">
        <f>IF($E198="","",$I198-$Q198)</f>
        <v/>
      </c>
      <c r="S198" s="12">
        <f>IF($E198="","",IF($R198&lt;=0,"KAPANDI",IF(COUNTIFS($A$2:$A$300,$A198,$F$2:$F$300,"&lt;"&amp;$F198,$R$2:$R$300,"&gt;0")=0,"ÖDEMEDE","SIRADA")))</f>
        <v/>
      </c>
      <c r="T198" s="7" t="n"/>
      <c r="U198" s="7" t="n"/>
      <c r="V198">
        <f>IF($E198="","",$A198&amp;"|"&amp;$S198)</f>
        <v/>
      </c>
    </row>
    <row r="199">
      <c r="A199" s="7" t="n"/>
      <c r="B199" s="8">
        <f>IF($A199="","",IFERROR(VLOOKUP($A199,PERSONEL!$A$2:$C$300,2,0),""))</f>
        <v/>
      </c>
      <c r="C199" s="9">
        <f>IF($A199="","",IFERROR(VLOOKUP($A199,PERSONEL!$A$2:$C$300,3,0),""))</f>
        <v/>
      </c>
      <c r="D199" s="10" t="n"/>
      <c r="E199" s="7" t="n"/>
      <c r="F199" s="7" t="n"/>
      <c r="G199" s="7" t="n"/>
      <c r="H199" s="7" t="n"/>
      <c r="I199" s="9" t="n"/>
      <c r="J199" s="7" t="n"/>
      <c r="K199" s="7" t="n"/>
      <c r="L199" s="7" t="n"/>
      <c r="M199" s="9" t="n"/>
      <c r="N199" s="9">
        <f>IF($E199="","",IF($S199&lt;&gt;"ÖDEMEDE",0,MIN($R199,IF($J199="Oran",IFERROR($C199*$K199/$L199,0),$M199))))</f>
        <v/>
      </c>
      <c r="O199" s="9" t="n"/>
      <c r="P199" s="9">
        <f>IF($E199="","",SUMIFS('AYLIK KESİNTİLER'!$E$2:$E$5000,'AYLIK KESİNTİLER'!$A$2:$A$5000,$A199,'AYLIK KESİNTİLER'!$B$2:$B$5000,$E199))</f>
        <v/>
      </c>
      <c r="Q199" s="9">
        <f>IF($E199="","",$O199+$P199)</f>
        <v/>
      </c>
      <c r="R199" s="9">
        <f>IF($E199="","",$I199-$Q199)</f>
        <v/>
      </c>
      <c r="S199" s="12">
        <f>IF($E199="","",IF($R199&lt;=0,"KAPANDI",IF(COUNTIFS($A$2:$A$300,$A199,$F$2:$F$300,"&lt;"&amp;$F199,$R$2:$R$300,"&gt;0")=0,"ÖDEMEDE","SIRADA")))</f>
        <v/>
      </c>
      <c r="T199" s="7" t="n"/>
      <c r="U199" s="7" t="n"/>
      <c r="V199">
        <f>IF($E199="","",$A199&amp;"|"&amp;$S199)</f>
        <v/>
      </c>
    </row>
    <row r="200">
      <c r="A200" s="7" t="n"/>
      <c r="B200" s="8">
        <f>IF($A200="","",IFERROR(VLOOKUP($A200,PERSONEL!$A$2:$C$300,2,0),""))</f>
        <v/>
      </c>
      <c r="C200" s="9">
        <f>IF($A200="","",IFERROR(VLOOKUP($A200,PERSONEL!$A$2:$C$300,3,0),""))</f>
        <v/>
      </c>
      <c r="D200" s="10" t="n"/>
      <c r="E200" s="7" t="n"/>
      <c r="F200" s="7" t="n"/>
      <c r="G200" s="7" t="n"/>
      <c r="H200" s="7" t="n"/>
      <c r="I200" s="9" t="n"/>
      <c r="J200" s="7" t="n"/>
      <c r="K200" s="7" t="n"/>
      <c r="L200" s="7" t="n"/>
      <c r="M200" s="9" t="n"/>
      <c r="N200" s="9">
        <f>IF($E200="","",IF($S200&lt;&gt;"ÖDEMEDE",0,MIN($R200,IF($J200="Oran",IFERROR($C200*$K200/$L200,0),$M200))))</f>
        <v/>
      </c>
      <c r="O200" s="9" t="n"/>
      <c r="P200" s="9">
        <f>IF($E200="","",SUMIFS('AYLIK KESİNTİLER'!$E$2:$E$5000,'AYLIK KESİNTİLER'!$A$2:$A$5000,$A200,'AYLIK KESİNTİLER'!$B$2:$B$5000,$E200))</f>
        <v/>
      </c>
      <c r="Q200" s="9">
        <f>IF($E200="","",$O200+$P200)</f>
        <v/>
      </c>
      <c r="R200" s="9">
        <f>IF($E200="","",$I200-$Q200)</f>
        <v/>
      </c>
      <c r="S200" s="12">
        <f>IF($E200="","",IF($R200&lt;=0,"KAPANDI",IF(COUNTIFS($A$2:$A$300,$A200,$F$2:$F$300,"&lt;"&amp;$F200,$R$2:$R$300,"&gt;0")=0,"ÖDEMEDE","SIRADA")))</f>
        <v/>
      </c>
      <c r="T200" s="7" t="n"/>
      <c r="U200" s="7" t="n"/>
      <c r="V200">
        <f>IF($E200="","",$A200&amp;"|"&amp;$S200)</f>
        <v/>
      </c>
    </row>
    <row r="201">
      <c r="A201" s="7" t="n"/>
      <c r="B201" s="8">
        <f>IF($A201="","",IFERROR(VLOOKUP($A201,PERSONEL!$A$2:$C$300,2,0),""))</f>
        <v/>
      </c>
      <c r="C201" s="9">
        <f>IF($A201="","",IFERROR(VLOOKUP($A201,PERSONEL!$A$2:$C$300,3,0),""))</f>
        <v/>
      </c>
      <c r="D201" s="10" t="n"/>
      <c r="E201" s="7" t="n"/>
      <c r="F201" s="7" t="n"/>
      <c r="G201" s="7" t="n"/>
      <c r="H201" s="7" t="n"/>
      <c r="I201" s="9" t="n"/>
      <c r="J201" s="7" t="n"/>
      <c r="K201" s="7" t="n"/>
      <c r="L201" s="7" t="n"/>
      <c r="M201" s="9" t="n"/>
      <c r="N201" s="9">
        <f>IF($E201="","",IF($S201&lt;&gt;"ÖDEMEDE",0,MIN($R201,IF($J201="Oran",IFERROR($C201*$K201/$L201,0),$M201))))</f>
        <v/>
      </c>
      <c r="O201" s="9" t="n"/>
      <c r="P201" s="9">
        <f>IF($E201="","",SUMIFS('AYLIK KESİNTİLER'!$E$2:$E$5000,'AYLIK KESİNTİLER'!$A$2:$A$5000,$A201,'AYLIK KESİNTİLER'!$B$2:$B$5000,$E201))</f>
        <v/>
      </c>
      <c r="Q201" s="9">
        <f>IF($E201="","",$O201+$P201)</f>
        <v/>
      </c>
      <c r="R201" s="9">
        <f>IF($E201="","",$I201-$Q201)</f>
        <v/>
      </c>
      <c r="S201" s="12">
        <f>IF($E201="","",IF($R201&lt;=0,"KAPANDI",IF(COUNTIFS($A$2:$A$300,$A201,$F$2:$F$300,"&lt;"&amp;$F201,$R$2:$R$300,"&gt;0")=0,"ÖDEMEDE","SIRADA")))</f>
        <v/>
      </c>
      <c r="T201" s="7" t="n"/>
      <c r="U201" s="7" t="n"/>
      <c r="V201">
        <f>IF($E201="","",$A201&amp;"|"&amp;$S201)</f>
        <v/>
      </c>
    </row>
    <row r="202">
      <c r="A202" s="7" t="n"/>
      <c r="B202" s="8">
        <f>IF($A202="","",IFERROR(VLOOKUP($A202,PERSONEL!$A$2:$C$300,2,0),""))</f>
        <v/>
      </c>
      <c r="C202" s="9">
        <f>IF($A202="","",IFERROR(VLOOKUP($A202,PERSONEL!$A$2:$C$300,3,0),""))</f>
        <v/>
      </c>
      <c r="D202" s="10" t="n"/>
      <c r="E202" s="7" t="n"/>
      <c r="F202" s="7" t="n"/>
      <c r="G202" s="7" t="n"/>
      <c r="H202" s="7" t="n"/>
      <c r="I202" s="9" t="n"/>
      <c r="J202" s="7" t="n"/>
      <c r="K202" s="7" t="n"/>
      <c r="L202" s="7" t="n"/>
      <c r="M202" s="9" t="n"/>
      <c r="N202" s="9">
        <f>IF($E202="","",IF($S202&lt;&gt;"ÖDEMEDE",0,MIN($R202,IF($J202="Oran",IFERROR($C202*$K202/$L202,0),$M202))))</f>
        <v/>
      </c>
      <c r="O202" s="9" t="n"/>
      <c r="P202" s="9">
        <f>IF($E202="","",SUMIFS('AYLIK KESİNTİLER'!$E$2:$E$5000,'AYLIK KESİNTİLER'!$A$2:$A$5000,$A202,'AYLIK KESİNTİLER'!$B$2:$B$5000,$E202))</f>
        <v/>
      </c>
      <c r="Q202" s="9">
        <f>IF($E202="","",$O202+$P202)</f>
        <v/>
      </c>
      <c r="R202" s="9">
        <f>IF($E202="","",$I202-$Q202)</f>
        <v/>
      </c>
      <c r="S202" s="12">
        <f>IF($E202="","",IF($R202&lt;=0,"KAPANDI",IF(COUNTIFS($A$2:$A$300,$A202,$F$2:$F$300,"&lt;"&amp;$F202,$R$2:$R$300,"&gt;0")=0,"ÖDEMEDE","SIRADA")))</f>
        <v/>
      </c>
      <c r="T202" s="7" t="n"/>
      <c r="U202" s="7" t="n"/>
      <c r="V202">
        <f>IF($E202="","",$A202&amp;"|"&amp;$S202)</f>
        <v/>
      </c>
    </row>
    <row r="203">
      <c r="A203" s="7" t="n"/>
      <c r="B203" s="8">
        <f>IF($A203="","",IFERROR(VLOOKUP($A203,PERSONEL!$A$2:$C$300,2,0),""))</f>
        <v/>
      </c>
      <c r="C203" s="9">
        <f>IF($A203="","",IFERROR(VLOOKUP($A203,PERSONEL!$A$2:$C$300,3,0),""))</f>
        <v/>
      </c>
      <c r="D203" s="10" t="n"/>
      <c r="E203" s="7" t="n"/>
      <c r="F203" s="7" t="n"/>
      <c r="G203" s="7" t="n"/>
      <c r="H203" s="7" t="n"/>
      <c r="I203" s="9" t="n"/>
      <c r="J203" s="7" t="n"/>
      <c r="K203" s="7" t="n"/>
      <c r="L203" s="7" t="n"/>
      <c r="M203" s="9" t="n"/>
      <c r="N203" s="9">
        <f>IF($E203="","",IF($S203&lt;&gt;"ÖDEMEDE",0,MIN($R203,IF($J203="Oran",IFERROR($C203*$K203/$L203,0),$M203))))</f>
        <v/>
      </c>
      <c r="O203" s="9" t="n"/>
      <c r="P203" s="9">
        <f>IF($E203="","",SUMIFS('AYLIK KESİNTİLER'!$E$2:$E$5000,'AYLIK KESİNTİLER'!$A$2:$A$5000,$A203,'AYLIK KESİNTİLER'!$B$2:$B$5000,$E203))</f>
        <v/>
      </c>
      <c r="Q203" s="9">
        <f>IF($E203="","",$O203+$P203)</f>
        <v/>
      </c>
      <c r="R203" s="9">
        <f>IF($E203="","",$I203-$Q203)</f>
        <v/>
      </c>
      <c r="S203" s="12">
        <f>IF($E203="","",IF($R203&lt;=0,"KAPANDI",IF(COUNTIFS($A$2:$A$300,$A203,$F$2:$F$300,"&lt;"&amp;$F203,$R$2:$R$300,"&gt;0")=0,"ÖDEMEDE","SIRADA")))</f>
        <v/>
      </c>
      <c r="T203" s="7" t="n"/>
      <c r="U203" s="7" t="n"/>
      <c r="V203">
        <f>IF($E203="","",$A203&amp;"|"&amp;$S203)</f>
        <v/>
      </c>
    </row>
    <row r="204">
      <c r="A204" s="7" t="n"/>
      <c r="B204" s="8">
        <f>IF($A204="","",IFERROR(VLOOKUP($A204,PERSONEL!$A$2:$C$300,2,0),""))</f>
        <v/>
      </c>
      <c r="C204" s="9">
        <f>IF($A204="","",IFERROR(VLOOKUP($A204,PERSONEL!$A$2:$C$300,3,0),""))</f>
        <v/>
      </c>
      <c r="D204" s="10" t="n"/>
      <c r="E204" s="7" t="n"/>
      <c r="F204" s="7" t="n"/>
      <c r="G204" s="7" t="n"/>
      <c r="H204" s="7" t="n"/>
      <c r="I204" s="9" t="n"/>
      <c r="J204" s="7" t="n"/>
      <c r="K204" s="7" t="n"/>
      <c r="L204" s="7" t="n"/>
      <c r="M204" s="9" t="n"/>
      <c r="N204" s="9">
        <f>IF($E204="","",IF($S204&lt;&gt;"ÖDEMEDE",0,MIN($R204,IF($J204="Oran",IFERROR($C204*$K204/$L204,0),$M204))))</f>
        <v/>
      </c>
      <c r="O204" s="9" t="n"/>
      <c r="P204" s="9">
        <f>IF($E204="","",SUMIFS('AYLIK KESİNTİLER'!$E$2:$E$5000,'AYLIK KESİNTİLER'!$A$2:$A$5000,$A204,'AYLIK KESİNTİLER'!$B$2:$B$5000,$E204))</f>
        <v/>
      </c>
      <c r="Q204" s="9">
        <f>IF($E204="","",$O204+$P204)</f>
        <v/>
      </c>
      <c r="R204" s="9">
        <f>IF($E204="","",$I204-$Q204)</f>
        <v/>
      </c>
      <c r="S204" s="12">
        <f>IF($E204="","",IF($R204&lt;=0,"KAPANDI",IF(COUNTIFS($A$2:$A$300,$A204,$F$2:$F$300,"&lt;"&amp;$F204,$R$2:$R$300,"&gt;0")=0,"ÖDEMEDE","SIRADA")))</f>
        <v/>
      </c>
      <c r="T204" s="7" t="n"/>
      <c r="U204" s="7" t="n"/>
      <c r="V204">
        <f>IF($E204="","",$A204&amp;"|"&amp;$S204)</f>
        <v/>
      </c>
    </row>
    <row r="205">
      <c r="A205" s="7" t="n"/>
      <c r="B205" s="8">
        <f>IF($A205="","",IFERROR(VLOOKUP($A205,PERSONEL!$A$2:$C$300,2,0),""))</f>
        <v/>
      </c>
      <c r="C205" s="9">
        <f>IF($A205="","",IFERROR(VLOOKUP($A205,PERSONEL!$A$2:$C$300,3,0),""))</f>
        <v/>
      </c>
      <c r="D205" s="10" t="n"/>
      <c r="E205" s="7" t="n"/>
      <c r="F205" s="7" t="n"/>
      <c r="G205" s="7" t="n"/>
      <c r="H205" s="7" t="n"/>
      <c r="I205" s="9" t="n"/>
      <c r="J205" s="7" t="n"/>
      <c r="K205" s="7" t="n"/>
      <c r="L205" s="7" t="n"/>
      <c r="M205" s="9" t="n"/>
      <c r="N205" s="9">
        <f>IF($E205="","",IF($S205&lt;&gt;"ÖDEMEDE",0,MIN($R205,IF($J205="Oran",IFERROR($C205*$K205/$L205,0),$M205))))</f>
        <v/>
      </c>
      <c r="O205" s="9" t="n"/>
      <c r="P205" s="9">
        <f>IF($E205="","",SUMIFS('AYLIK KESİNTİLER'!$E$2:$E$5000,'AYLIK KESİNTİLER'!$A$2:$A$5000,$A205,'AYLIK KESİNTİLER'!$B$2:$B$5000,$E205))</f>
        <v/>
      </c>
      <c r="Q205" s="9">
        <f>IF($E205="","",$O205+$P205)</f>
        <v/>
      </c>
      <c r="R205" s="9">
        <f>IF($E205="","",$I205-$Q205)</f>
        <v/>
      </c>
      <c r="S205" s="12">
        <f>IF($E205="","",IF($R205&lt;=0,"KAPANDI",IF(COUNTIFS($A$2:$A$300,$A205,$F$2:$F$300,"&lt;"&amp;$F205,$R$2:$R$300,"&gt;0")=0,"ÖDEMEDE","SIRADA")))</f>
        <v/>
      </c>
      <c r="T205" s="7" t="n"/>
      <c r="U205" s="7" t="n"/>
      <c r="V205">
        <f>IF($E205="","",$A205&amp;"|"&amp;$S205)</f>
        <v/>
      </c>
    </row>
    <row r="206">
      <c r="A206" s="7" t="n"/>
      <c r="B206" s="8">
        <f>IF($A206="","",IFERROR(VLOOKUP($A206,PERSONEL!$A$2:$C$300,2,0),""))</f>
        <v/>
      </c>
      <c r="C206" s="9">
        <f>IF($A206="","",IFERROR(VLOOKUP($A206,PERSONEL!$A$2:$C$300,3,0),""))</f>
        <v/>
      </c>
      <c r="D206" s="10" t="n"/>
      <c r="E206" s="7" t="n"/>
      <c r="F206" s="7" t="n"/>
      <c r="G206" s="7" t="n"/>
      <c r="H206" s="7" t="n"/>
      <c r="I206" s="9" t="n"/>
      <c r="J206" s="7" t="n"/>
      <c r="K206" s="7" t="n"/>
      <c r="L206" s="7" t="n"/>
      <c r="M206" s="9" t="n"/>
      <c r="N206" s="9">
        <f>IF($E206="","",IF($S206&lt;&gt;"ÖDEMEDE",0,MIN($R206,IF($J206="Oran",IFERROR($C206*$K206/$L206,0),$M206))))</f>
        <v/>
      </c>
      <c r="O206" s="9" t="n"/>
      <c r="P206" s="9">
        <f>IF($E206="","",SUMIFS('AYLIK KESİNTİLER'!$E$2:$E$5000,'AYLIK KESİNTİLER'!$A$2:$A$5000,$A206,'AYLIK KESİNTİLER'!$B$2:$B$5000,$E206))</f>
        <v/>
      </c>
      <c r="Q206" s="9">
        <f>IF($E206="","",$O206+$P206)</f>
        <v/>
      </c>
      <c r="R206" s="9">
        <f>IF($E206="","",$I206-$Q206)</f>
        <v/>
      </c>
      <c r="S206" s="12">
        <f>IF($E206="","",IF($R206&lt;=0,"KAPANDI",IF(COUNTIFS($A$2:$A$300,$A206,$F$2:$F$300,"&lt;"&amp;$F206,$R$2:$R$300,"&gt;0")=0,"ÖDEMEDE","SIRADA")))</f>
        <v/>
      </c>
      <c r="T206" s="7" t="n"/>
      <c r="U206" s="7" t="n"/>
      <c r="V206">
        <f>IF($E206="","",$A206&amp;"|"&amp;$S206)</f>
        <v/>
      </c>
    </row>
    <row r="207">
      <c r="A207" s="7" t="n"/>
      <c r="B207" s="8">
        <f>IF($A207="","",IFERROR(VLOOKUP($A207,PERSONEL!$A$2:$C$300,2,0),""))</f>
        <v/>
      </c>
      <c r="C207" s="9">
        <f>IF($A207="","",IFERROR(VLOOKUP($A207,PERSONEL!$A$2:$C$300,3,0),""))</f>
        <v/>
      </c>
      <c r="D207" s="10" t="n"/>
      <c r="E207" s="7" t="n"/>
      <c r="F207" s="7" t="n"/>
      <c r="G207" s="7" t="n"/>
      <c r="H207" s="7" t="n"/>
      <c r="I207" s="9" t="n"/>
      <c r="J207" s="7" t="n"/>
      <c r="K207" s="7" t="n"/>
      <c r="L207" s="7" t="n"/>
      <c r="M207" s="9" t="n"/>
      <c r="N207" s="9">
        <f>IF($E207="","",IF($S207&lt;&gt;"ÖDEMEDE",0,MIN($R207,IF($J207="Oran",IFERROR($C207*$K207/$L207,0),$M207))))</f>
        <v/>
      </c>
      <c r="O207" s="9" t="n"/>
      <c r="P207" s="9">
        <f>IF($E207="","",SUMIFS('AYLIK KESİNTİLER'!$E$2:$E$5000,'AYLIK KESİNTİLER'!$A$2:$A$5000,$A207,'AYLIK KESİNTİLER'!$B$2:$B$5000,$E207))</f>
        <v/>
      </c>
      <c r="Q207" s="9">
        <f>IF($E207="","",$O207+$P207)</f>
        <v/>
      </c>
      <c r="R207" s="9">
        <f>IF($E207="","",$I207-$Q207)</f>
        <v/>
      </c>
      <c r="S207" s="12">
        <f>IF($E207="","",IF($R207&lt;=0,"KAPANDI",IF(COUNTIFS($A$2:$A$300,$A207,$F$2:$F$300,"&lt;"&amp;$F207,$R$2:$R$300,"&gt;0")=0,"ÖDEMEDE","SIRADA")))</f>
        <v/>
      </c>
      <c r="T207" s="7" t="n"/>
      <c r="U207" s="7" t="n"/>
      <c r="V207">
        <f>IF($E207="","",$A207&amp;"|"&amp;$S207)</f>
        <v/>
      </c>
    </row>
    <row r="208">
      <c r="A208" s="7" t="n"/>
      <c r="B208" s="8">
        <f>IF($A208="","",IFERROR(VLOOKUP($A208,PERSONEL!$A$2:$C$300,2,0),""))</f>
        <v/>
      </c>
      <c r="C208" s="9">
        <f>IF($A208="","",IFERROR(VLOOKUP($A208,PERSONEL!$A$2:$C$300,3,0),""))</f>
        <v/>
      </c>
      <c r="D208" s="10" t="n"/>
      <c r="E208" s="7" t="n"/>
      <c r="F208" s="7" t="n"/>
      <c r="G208" s="7" t="n"/>
      <c r="H208" s="7" t="n"/>
      <c r="I208" s="9" t="n"/>
      <c r="J208" s="7" t="n"/>
      <c r="K208" s="7" t="n"/>
      <c r="L208" s="7" t="n"/>
      <c r="M208" s="9" t="n"/>
      <c r="N208" s="9">
        <f>IF($E208="","",IF($S208&lt;&gt;"ÖDEMEDE",0,MIN($R208,IF($J208="Oran",IFERROR($C208*$K208/$L208,0),$M208))))</f>
        <v/>
      </c>
      <c r="O208" s="9" t="n"/>
      <c r="P208" s="9">
        <f>IF($E208="","",SUMIFS('AYLIK KESİNTİLER'!$E$2:$E$5000,'AYLIK KESİNTİLER'!$A$2:$A$5000,$A208,'AYLIK KESİNTİLER'!$B$2:$B$5000,$E208))</f>
        <v/>
      </c>
      <c r="Q208" s="9">
        <f>IF($E208="","",$O208+$P208)</f>
        <v/>
      </c>
      <c r="R208" s="9">
        <f>IF($E208="","",$I208-$Q208)</f>
        <v/>
      </c>
      <c r="S208" s="12">
        <f>IF($E208="","",IF($R208&lt;=0,"KAPANDI",IF(COUNTIFS($A$2:$A$300,$A208,$F$2:$F$300,"&lt;"&amp;$F208,$R$2:$R$300,"&gt;0")=0,"ÖDEMEDE","SIRADA")))</f>
        <v/>
      </c>
      <c r="T208" s="7" t="n"/>
      <c r="U208" s="7" t="n"/>
      <c r="V208">
        <f>IF($E208="","",$A208&amp;"|"&amp;$S208)</f>
        <v/>
      </c>
    </row>
    <row r="209">
      <c r="A209" s="7" t="n"/>
      <c r="B209" s="8">
        <f>IF($A209="","",IFERROR(VLOOKUP($A209,PERSONEL!$A$2:$C$300,2,0),""))</f>
        <v/>
      </c>
      <c r="C209" s="9">
        <f>IF($A209="","",IFERROR(VLOOKUP($A209,PERSONEL!$A$2:$C$300,3,0),""))</f>
        <v/>
      </c>
      <c r="D209" s="10" t="n"/>
      <c r="E209" s="7" t="n"/>
      <c r="F209" s="7" t="n"/>
      <c r="G209" s="7" t="n"/>
      <c r="H209" s="7" t="n"/>
      <c r="I209" s="9" t="n"/>
      <c r="J209" s="7" t="n"/>
      <c r="K209" s="7" t="n"/>
      <c r="L209" s="7" t="n"/>
      <c r="M209" s="9" t="n"/>
      <c r="N209" s="9">
        <f>IF($E209="","",IF($S209&lt;&gt;"ÖDEMEDE",0,MIN($R209,IF($J209="Oran",IFERROR($C209*$K209/$L209,0),$M209))))</f>
        <v/>
      </c>
      <c r="O209" s="9" t="n"/>
      <c r="P209" s="9">
        <f>IF($E209="","",SUMIFS('AYLIK KESİNTİLER'!$E$2:$E$5000,'AYLIK KESİNTİLER'!$A$2:$A$5000,$A209,'AYLIK KESİNTİLER'!$B$2:$B$5000,$E209))</f>
        <v/>
      </c>
      <c r="Q209" s="9">
        <f>IF($E209="","",$O209+$P209)</f>
        <v/>
      </c>
      <c r="R209" s="9">
        <f>IF($E209="","",$I209-$Q209)</f>
        <v/>
      </c>
      <c r="S209" s="12">
        <f>IF($E209="","",IF($R209&lt;=0,"KAPANDI",IF(COUNTIFS($A$2:$A$300,$A209,$F$2:$F$300,"&lt;"&amp;$F209,$R$2:$R$300,"&gt;0")=0,"ÖDEMEDE","SIRADA")))</f>
        <v/>
      </c>
      <c r="T209" s="7" t="n"/>
      <c r="U209" s="7" t="n"/>
      <c r="V209">
        <f>IF($E209="","",$A209&amp;"|"&amp;$S209)</f>
        <v/>
      </c>
    </row>
    <row r="210">
      <c r="A210" s="7" t="n"/>
      <c r="B210" s="8">
        <f>IF($A210="","",IFERROR(VLOOKUP($A210,PERSONEL!$A$2:$C$300,2,0),""))</f>
        <v/>
      </c>
      <c r="C210" s="9">
        <f>IF($A210="","",IFERROR(VLOOKUP($A210,PERSONEL!$A$2:$C$300,3,0),""))</f>
        <v/>
      </c>
      <c r="D210" s="10" t="n"/>
      <c r="E210" s="7" t="n"/>
      <c r="F210" s="7" t="n"/>
      <c r="G210" s="7" t="n"/>
      <c r="H210" s="7" t="n"/>
      <c r="I210" s="9" t="n"/>
      <c r="J210" s="7" t="n"/>
      <c r="K210" s="7" t="n"/>
      <c r="L210" s="7" t="n"/>
      <c r="M210" s="9" t="n"/>
      <c r="N210" s="9">
        <f>IF($E210="","",IF($S210&lt;&gt;"ÖDEMEDE",0,MIN($R210,IF($J210="Oran",IFERROR($C210*$K210/$L210,0),$M210))))</f>
        <v/>
      </c>
      <c r="O210" s="9" t="n"/>
      <c r="P210" s="9">
        <f>IF($E210="","",SUMIFS('AYLIK KESİNTİLER'!$E$2:$E$5000,'AYLIK KESİNTİLER'!$A$2:$A$5000,$A210,'AYLIK KESİNTİLER'!$B$2:$B$5000,$E210))</f>
        <v/>
      </c>
      <c r="Q210" s="9">
        <f>IF($E210="","",$O210+$P210)</f>
        <v/>
      </c>
      <c r="R210" s="9">
        <f>IF($E210="","",$I210-$Q210)</f>
        <v/>
      </c>
      <c r="S210" s="12">
        <f>IF($E210="","",IF($R210&lt;=0,"KAPANDI",IF(COUNTIFS($A$2:$A$300,$A210,$F$2:$F$300,"&lt;"&amp;$F210,$R$2:$R$300,"&gt;0")=0,"ÖDEMEDE","SIRADA")))</f>
        <v/>
      </c>
      <c r="T210" s="7" t="n"/>
      <c r="U210" s="7" t="n"/>
      <c r="V210">
        <f>IF($E210="","",$A210&amp;"|"&amp;$S210)</f>
        <v/>
      </c>
    </row>
    <row r="211">
      <c r="A211" s="7" t="n"/>
      <c r="B211" s="8">
        <f>IF($A211="","",IFERROR(VLOOKUP($A211,PERSONEL!$A$2:$C$300,2,0),""))</f>
        <v/>
      </c>
      <c r="C211" s="9">
        <f>IF($A211="","",IFERROR(VLOOKUP($A211,PERSONEL!$A$2:$C$300,3,0),""))</f>
        <v/>
      </c>
      <c r="D211" s="10" t="n"/>
      <c r="E211" s="7" t="n"/>
      <c r="F211" s="7" t="n"/>
      <c r="G211" s="7" t="n"/>
      <c r="H211" s="7" t="n"/>
      <c r="I211" s="9" t="n"/>
      <c r="J211" s="7" t="n"/>
      <c r="K211" s="7" t="n"/>
      <c r="L211" s="7" t="n"/>
      <c r="M211" s="9" t="n"/>
      <c r="N211" s="9">
        <f>IF($E211="","",IF($S211&lt;&gt;"ÖDEMEDE",0,MIN($R211,IF($J211="Oran",IFERROR($C211*$K211/$L211,0),$M211))))</f>
        <v/>
      </c>
      <c r="O211" s="9" t="n"/>
      <c r="P211" s="9">
        <f>IF($E211="","",SUMIFS('AYLIK KESİNTİLER'!$E$2:$E$5000,'AYLIK KESİNTİLER'!$A$2:$A$5000,$A211,'AYLIK KESİNTİLER'!$B$2:$B$5000,$E211))</f>
        <v/>
      </c>
      <c r="Q211" s="9">
        <f>IF($E211="","",$O211+$P211)</f>
        <v/>
      </c>
      <c r="R211" s="9">
        <f>IF($E211="","",$I211-$Q211)</f>
        <v/>
      </c>
      <c r="S211" s="12">
        <f>IF($E211="","",IF($R211&lt;=0,"KAPANDI",IF(COUNTIFS($A$2:$A$300,$A211,$F$2:$F$300,"&lt;"&amp;$F211,$R$2:$R$300,"&gt;0")=0,"ÖDEMEDE","SIRADA")))</f>
        <v/>
      </c>
      <c r="T211" s="7" t="n"/>
      <c r="U211" s="7" t="n"/>
      <c r="V211">
        <f>IF($E211="","",$A211&amp;"|"&amp;$S211)</f>
        <v/>
      </c>
    </row>
    <row r="212">
      <c r="A212" s="7" t="n"/>
      <c r="B212" s="8">
        <f>IF($A212="","",IFERROR(VLOOKUP($A212,PERSONEL!$A$2:$C$300,2,0),""))</f>
        <v/>
      </c>
      <c r="C212" s="9">
        <f>IF($A212="","",IFERROR(VLOOKUP($A212,PERSONEL!$A$2:$C$300,3,0),""))</f>
        <v/>
      </c>
      <c r="D212" s="10" t="n"/>
      <c r="E212" s="7" t="n"/>
      <c r="F212" s="7" t="n"/>
      <c r="G212" s="7" t="n"/>
      <c r="H212" s="7" t="n"/>
      <c r="I212" s="9" t="n"/>
      <c r="J212" s="7" t="n"/>
      <c r="K212" s="7" t="n"/>
      <c r="L212" s="7" t="n"/>
      <c r="M212" s="9" t="n"/>
      <c r="N212" s="9">
        <f>IF($E212="","",IF($S212&lt;&gt;"ÖDEMEDE",0,MIN($R212,IF($J212="Oran",IFERROR($C212*$K212/$L212,0),$M212))))</f>
        <v/>
      </c>
      <c r="O212" s="9" t="n"/>
      <c r="P212" s="9">
        <f>IF($E212="","",SUMIFS('AYLIK KESİNTİLER'!$E$2:$E$5000,'AYLIK KESİNTİLER'!$A$2:$A$5000,$A212,'AYLIK KESİNTİLER'!$B$2:$B$5000,$E212))</f>
        <v/>
      </c>
      <c r="Q212" s="9">
        <f>IF($E212="","",$O212+$P212)</f>
        <v/>
      </c>
      <c r="R212" s="9">
        <f>IF($E212="","",$I212-$Q212)</f>
        <v/>
      </c>
      <c r="S212" s="12">
        <f>IF($E212="","",IF($R212&lt;=0,"KAPANDI",IF(COUNTIFS($A$2:$A$300,$A212,$F$2:$F$300,"&lt;"&amp;$F212,$R$2:$R$300,"&gt;0")=0,"ÖDEMEDE","SIRADA")))</f>
        <v/>
      </c>
      <c r="T212" s="7" t="n"/>
      <c r="U212" s="7" t="n"/>
      <c r="V212">
        <f>IF($E212="","",$A212&amp;"|"&amp;$S212)</f>
        <v/>
      </c>
    </row>
    <row r="213">
      <c r="A213" s="7" t="n"/>
      <c r="B213" s="8">
        <f>IF($A213="","",IFERROR(VLOOKUP($A213,PERSONEL!$A$2:$C$300,2,0),""))</f>
        <v/>
      </c>
      <c r="C213" s="9">
        <f>IF($A213="","",IFERROR(VLOOKUP($A213,PERSONEL!$A$2:$C$300,3,0),""))</f>
        <v/>
      </c>
      <c r="D213" s="10" t="n"/>
      <c r="E213" s="7" t="n"/>
      <c r="F213" s="7" t="n"/>
      <c r="G213" s="7" t="n"/>
      <c r="H213" s="7" t="n"/>
      <c r="I213" s="9" t="n"/>
      <c r="J213" s="7" t="n"/>
      <c r="K213" s="7" t="n"/>
      <c r="L213" s="7" t="n"/>
      <c r="M213" s="9" t="n"/>
      <c r="N213" s="9">
        <f>IF($E213="","",IF($S213&lt;&gt;"ÖDEMEDE",0,MIN($R213,IF($J213="Oran",IFERROR($C213*$K213/$L213,0),$M213))))</f>
        <v/>
      </c>
      <c r="O213" s="9" t="n"/>
      <c r="P213" s="9">
        <f>IF($E213="","",SUMIFS('AYLIK KESİNTİLER'!$E$2:$E$5000,'AYLIK KESİNTİLER'!$A$2:$A$5000,$A213,'AYLIK KESİNTİLER'!$B$2:$B$5000,$E213))</f>
        <v/>
      </c>
      <c r="Q213" s="9">
        <f>IF($E213="","",$O213+$P213)</f>
        <v/>
      </c>
      <c r="R213" s="9">
        <f>IF($E213="","",$I213-$Q213)</f>
        <v/>
      </c>
      <c r="S213" s="12">
        <f>IF($E213="","",IF($R213&lt;=0,"KAPANDI",IF(COUNTIFS($A$2:$A$300,$A213,$F$2:$F$300,"&lt;"&amp;$F213,$R$2:$R$300,"&gt;0")=0,"ÖDEMEDE","SIRADA")))</f>
        <v/>
      </c>
      <c r="T213" s="7" t="n"/>
      <c r="U213" s="7" t="n"/>
      <c r="V213">
        <f>IF($E213="","",$A213&amp;"|"&amp;$S213)</f>
        <v/>
      </c>
    </row>
    <row r="214">
      <c r="A214" s="7" t="n"/>
      <c r="B214" s="8">
        <f>IF($A214="","",IFERROR(VLOOKUP($A214,PERSONEL!$A$2:$C$300,2,0),""))</f>
        <v/>
      </c>
      <c r="C214" s="9">
        <f>IF($A214="","",IFERROR(VLOOKUP($A214,PERSONEL!$A$2:$C$300,3,0),""))</f>
        <v/>
      </c>
      <c r="D214" s="10" t="n"/>
      <c r="E214" s="7" t="n"/>
      <c r="F214" s="7" t="n"/>
      <c r="G214" s="7" t="n"/>
      <c r="H214" s="7" t="n"/>
      <c r="I214" s="9" t="n"/>
      <c r="J214" s="7" t="n"/>
      <c r="K214" s="7" t="n"/>
      <c r="L214" s="7" t="n"/>
      <c r="M214" s="9" t="n"/>
      <c r="N214" s="9">
        <f>IF($E214="","",IF($S214&lt;&gt;"ÖDEMEDE",0,MIN($R214,IF($J214="Oran",IFERROR($C214*$K214/$L214,0),$M214))))</f>
        <v/>
      </c>
      <c r="O214" s="9" t="n"/>
      <c r="P214" s="9">
        <f>IF($E214="","",SUMIFS('AYLIK KESİNTİLER'!$E$2:$E$5000,'AYLIK KESİNTİLER'!$A$2:$A$5000,$A214,'AYLIK KESİNTİLER'!$B$2:$B$5000,$E214))</f>
        <v/>
      </c>
      <c r="Q214" s="9">
        <f>IF($E214="","",$O214+$P214)</f>
        <v/>
      </c>
      <c r="R214" s="9">
        <f>IF($E214="","",$I214-$Q214)</f>
        <v/>
      </c>
      <c r="S214" s="12">
        <f>IF($E214="","",IF($R214&lt;=0,"KAPANDI",IF(COUNTIFS($A$2:$A$300,$A214,$F$2:$F$300,"&lt;"&amp;$F214,$R$2:$R$300,"&gt;0")=0,"ÖDEMEDE","SIRADA")))</f>
        <v/>
      </c>
      <c r="T214" s="7" t="n"/>
      <c r="U214" s="7" t="n"/>
      <c r="V214">
        <f>IF($E214="","",$A214&amp;"|"&amp;$S214)</f>
        <v/>
      </c>
    </row>
    <row r="215">
      <c r="A215" s="7" t="n"/>
      <c r="B215" s="8">
        <f>IF($A215="","",IFERROR(VLOOKUP($A215,PERSONEL!$A$2:$C$300,2,0),""))</f>
        <v/>
      </c>
      <c r="C215" s="9">
        <f>IF($A215="","",IFERROR(VLOOKUP($A215,PERSONEL!$A$2:$C$300,3,0),""))</f>
        <v/>
      </c>
      <c r="D215" s="10" t="n"/>
      <c r="E215" s="7" t="n"/>
      <c r="F215" s="7" t="n"/>
      <c r="G215" s="7" t="n"/>
      <c r="H215" s="7" t="n"/>
      <c r="I215" s="9" t="n"/>
      <c r="J215" s="7" t="n"/>
      <c r="K215" s="7" t="n"/>
      <c r="L215" s="7" t="n"/>
      <c r="M215" s="9" t="n"/>
      <c r="N215" s="9">
        <f>IF($E215="","",IF($S215&lt;&gt;"ÖDEMEDE",0,MIN($R215,IF($J215="Oran",IFERROR($C215*$K215/$L215,0),$M215))))</f>
        <v/>
      </c>
      <c r="O215" s="9" t="n"/>
      <c r="P215" s="9">
        <f>IF($E215="","",SUMIFS('AYLIK KESİNTİLER'!$E$2:$E$5000,'AYLIK KESİNTİLER'!$A$2:$A$5000,$A215,'AYLIK KESİNTİLER'!$B$2:$B$5000,$E215))</f>
        <v/>
      </c>
      <c r="Q215" s="9">
        <f>IF($E215="","",$O215+$P215)</f>
        <v/>
      </c>
      <c r="R215" s="9">
        <f>IF($E215="","",$I215-$Q215)</f>
        <v/>
      </c>
      <c r="S215" s="12">
        <f>IF($E215="","",IF($R215&lt;=0,"KAPANDI",IF(COUNTIFS($A$2:$A$300,$A215,$F$2:$F$300,"&lt;"&amp;$F215,$R$2:$R$300,"&gt;0")=0,"ÖDEMEDE","SIRADA")))</f>
        <v/>
      </c>
      <c r="T215" s="7" t="n"/>
      <c r="U215" s="7" t="n"/>
      <c r="V215">
        <f>IF($E215="","",$A215&amp;"|"&amp;$S215)</f>
        <v/>
      </c>
    </row>
    <row r="216">
      <c r="A216" s="7" t="n"/>
      <c r="B216" s="8">
        <f>IF($A216="","",IFERROR(VLOOKUP($A216,PERSONEL!$A$2:$C$300,2,0),""))</f>
        <v/>
      </c>
      <c r="C216" s="9">
        <f>IF($A216="","",IFERROR(VLOOKUP($A216,PERSONEL!$A$2:$C$300,3,0),""))</f>
        <v/>
      </c>
      <c r="D216" s="10" t="n"/>
      <c r="E216" s="7" t="n"/>
      <c r="F216" s="7" t="n"/>
      <c r="G216" s="7" t="n"/>
      <c r="H216" s="7" t="n"/>
      <c r="I216" s="9" t="n"/>
      <c r="J216" s="7" t="n"/>
      <c r="K216" s="7" t="n"/>
      <c r="L216" s="7" t="n"/>
      <c r="M216" s="9" t="n"/>
      <c r="N216" s="9">
        <f>IF($E216="","",IF($S216&lt;&gt;"ÖDEMEDE",0,MIN($R216,IF($J216="Oran",IFERROR($C216*$K216/$L216,0),$M216))))</f>
        <v/>
      </c>
      <c r="O216" s="9" t="n"/>
      <c r="P216" s="9">
        <f>IF($E216="","",SUMIFS('AYLIK KESİNTİLER'!$E$2:$E$5000,'AYLIK KESİNTİLER'!$A$2:$A$5000,$A216,'AYLIK KESİNTİLER'!$B$2:$B$5000,$E216))</f>
        <v/>
      </c>
      <c r="Q216" s="9">
        <f>IF($E216="","",$O216+$P216)</f>
        <v/>
      </c>
      <c r="R216" s="9">
        <f>IF($E216="","",$I216-$Q216)</f>
        <v/>
      </c>
      <c r="S216" s="12">
        <f>IF($E216="","",IF($R216&lt;=0,"KAPANDI",IF(COUNTIFS($A$2:$A$300,$A216,$F$2:$F$300,"&lt;"&amp;$F216,$R$2:$R$300,"&gt;0")=0,"ÖDEMEDE","SIRADA")))</f>
        <v/>
      </c>
      <c r="T216" s="7" t="n"/>
      <c r="U216" s="7" t="n"/>
      <c r="V216">
        <f>IF($E216="","",$A216&amp;"|"&amp;$S216)</f>
        <v/>
      </c>
    </row>
    <row r="217">
      <c r="A217" s="7" t="n"/>
      <c r="B217" s="8">
        <f>IF($A217="","",IFERROR(VLOOKUP($A217,PERSONEL!$A$2:$C$300,2,0),""))</f>
        <v/>
      </c>
      <c r="C217" s="9">
        <f>IF($A217="","",IFERROR(VLOOKUP($A217,PERSONEL!$A$2:$C$300,3,0),""))</f>
        <v/>
      </c>
      <c r="D217" s="10" t="n"/>
      <c r="E217" s="7" t="n"/>
      <c r="F217" s="7" t="n"/>
      <c r="G217" s="7" t="n"/>
      <c r="H217" s="7" t="n"/>
      <c r="I217" s="9" t="n"/>
      <c r="J217" s="7" t="n"/>
      <c r="K217" s="7" t="n"/>
      <c r="L217" s="7" t="n"/>
      <c r="M217" s="9" t="n"/>
      <c r="N217" s="9">
        <f>IF($E217="","",IF($S217&lt;&gt;"ÖDEMEDE",0,MIN($R217,IF($J217="Oran",IFERROR($C217*$K217/$L217,0),$M217))))</f>
        <v/>
      </c>
      <c r="O217" s="9" t="n"/>
      <c r="P217" s="9">
        <f>IF($E217="","",SUMIFS('AYLIK KESİNTİLER'!$E$2:$E$5000,'AYLIK KESİNTİLER'!$A$2:$A$5000,$A217,'AYLIK KESİNTİLER'!$B$2:$B$5000,$E217))</f>
        <v/>
      </c>
      <c r="Q217" s="9">
        <f>IF($E217="","",$O217+$P217)</f>
        <v/>
      </c>
      <c r="R217" s="9">
        <f>IF($E217="","",$I217-$Q217)</f>
        <v/>
      </c>
      <c r="S217" s="12">
        <f>IF($E217="","",IF($R217&lt;=0,"KAPANDI",IF(COUNTIFS($A$2:$A$300,$A217,$F$2:$F$300,"&lt;"&amp;$F217,$R$2:$R$300,"&gt;0")=0,"ÖDEMEDE","SIRADA")))</f>
        <v/>
      </c>
      <c r="T217" s="7" t="n"/>
      <c r="U217" s="7" t="n"/>
      <c r="V217">
        <f>IF($E217="","",$A217&amp;"|"&amp;$S217)</f>
        <v/>
      </c>
    </row>
    <row r="218">
      <c r="A218" s="7" t="n"/>
      <c r="B218" s="8">
        <f>IF($A218="","",IFERROR(VLOOKUP($A218,PERSONEL!$A$2:$C$300,2,0),""))</f>
        <v/>
      </c>
      <c r="C218" s="9">
        <f>IF($A218="","",IFERROR(VLOOKUP($A218,PERSONEL!$A$2:$C$300,3,0),""))</f>
        <v/>
      </c>
      <c r="D218" s="10" t="n"/>
      <c r="E218" s="7" t="n"/>
      <c r="F218" s="7" t="n"/>
      <c r="G218" s="7" t="n"/>
      <c r="H218" s="7" t="n"/>
      <c r="I218" s="9" t="n"/>
      <c r="J218" s="7" t="n"/>
      <c r="K218" s="7" t="n"/>
      <c r="L218" s="7" t="n"/>
      <c r="M218" s="9" t="n"/>
      <c r="N218" s="9">
        <f>IF($E218="","",IF($S218&lt;&gt;"ÖDEMEDE",0,MIN($R218,IF($J218="Oran",IFERROR($C218*$K218/$L218,0),$M218))))</f>
        <v/>
      </c>
      <c r="O218" s="9" t="n"/>
      <c r="P218" s="9">
        <f>IF($E218="","",SUMIFS('AYLIK KESİNTİLER'!$E$2:$E$5000,'AYLIK KESİNTİLER'!$A$2:$A$5000,$A218,'AYLIK KESİNTİLER'!$B$2:$B$5000,$E218))</f>
        <v/>
      </c>
      <c r="Q218" s="9">
        <f>IF($E218="","",$O218+$P218)</f>
        <v/>
      </c>
      <c r="R218" s="9">
        <f>IF($E218="","",$I218-$Q218)</f>
        <v/>
      </c>
      <c r="S218" s="12">
        <f>IF($E218="","",IF($R218&lt;=0,"KAPANDI",IF(COUNTIFS($A$2:$A$300,$A218,$F$2:$F$300,"&lt;"&amp;$F218,$R$2:$R$300,"&gt;0")=0,"ÖDEMEDE","SIRADA")))</f>
        <v/>
      </c>
      <c r="T218" s="7" t="n"/>
      <c r="U218" s="7" t="n"/>
      <c r="V218">
        <f>IF($E218="","",$A218&amp;"|"&amp;$S218)</f>
        <v/>
      </c>
    </row>
    <row r="219">
      <c r="A219" s="7" t="n"/>
      <c r="B219" s="8">
        <f>IF($A219="","",IFERROR(VLOOKUP($A219,PERSONEL!$A$2:$C$300,2,0),""))</f>
        <v/>
      </c>
      <c r="C219" s="9">
        <f>IF($A219="","",IFERROR(VLOOKUP($A219,PERSONEL!$A$2:$C$300,3,0),""))</f>
        <v/>
      </c>
      <c r="D219" s="10" t="n"/>
      <c r="E219" s="7" t="n"/>
      <c r="F219" s="7" t="n"/>
      <c r="G219" s="7" t="n"/>
      <c r="H219" s="7" t="n"/>
      <c r="I219" s="9" t="n"/>
      <c r="J219" s="7" t="n"/>
      <c r="K219" s="7" t="n"/>
      <c r="L219" s="7" t="n"/>
      <c r="M219" s="9" t="n"/>
      <c r="N219" s="9">
        <f>IF($E219="","",IF($S219&lt;&gt;"ÖDEMEDE",0,MIN($R219,IF($J219="Oran",IFERROR($C219*$K219/$L219,0),$M219))))</f>
        <v/>
      </c>
      <c r="O219" s="9" t="n"/>
      <c r="P219" s="9">
        <f>IF($E219="","",SUMIFS('AYLIK KESİNTİLER'!$E$2:$E$5000,'AYLIK KESİNTİLER'!$A$2:$A$5000,$A219,'AYLIK KESİNTİLER'!$B$2:$B$5000,$E219))</f>
        <v/>
      </c>
      <c r="Q219" s="9">
        <f>IF($E219="","",$O219+$P219)</f>
        <v/>
      </c>
      <c r="R219" s="9">
        <f>IF($E219="","",$I219-$Q219)</f>
        <v/>
      </c>
      <c r="S219" s="12">
        <f>IF($E219="","",IF($R219&lt;=0,"KAPANDI",IF(COUNTIFS($A$2:$A$300,$A219,$F$2:$F$300,"&lt;"&amp;$F219,$R$2:$R$300,"&gt;0")=0,"ÖDEMEDE","SIRADA")))</f>
        <v/>
      </c>
      <c r="T219" s="7" t="n"/>
      <c r="U219" s="7" t="n"/>
      <c r="V219">
        <f>IF($E219="","",$A219&amp;"|"&amp;$S219)</f>
        <v/>
      </c>
    </row>
    <row r="220">
      <c r="A220" s="7" t="n"/>
      <c r="B220" s="8">
        <f>IF($A220="","",IFERROR(VLOOKUP($A220,PERSONEL!$A$2:$C$300,2,0),""))</f>
        <v/>
      </c>
      <c r="C220" s="9">
        <f>IF($A220="","",IFERROR(VLOOKUP($A220,PERSONEL!$A$2:$C$300,3,0),""))</f>
        <v/>
      </c>
      <c r="D220" s="10" t="n"/>
      <c r="E220" s="7" t="n"/>
      <c r="F220" s="7" t="n"/>
      <c r="G220" s="7" t="n"/>
      <c r="H220" s="7" t="n"/>
      <c r="I220" s="9" t="n"/>
      <c r="J220" s="7" t="n"/>
      <c r="K220" s="7" t="n"/>
      <c r="L220" s="7" t="n"/>
      <c r="M220" s="9" t="n"/>
      <c r="N220" s="9">
        <f>IF($E220="","",IF($S220&lt;&gt;"ÖDEMEDE",0,MIN($R220,IF($J220="Oran",IFERROR($C220*$K220/$L220,0),$M220))))</f>
        <v/>
      </c>
      <c r="O220" s="9" t="n"/>
      <c r="P220" s="9">
        <f>IF($E220="","",SUMIFS('AYLIK KESİNTİLER'!$E$2:$E$5000,'AYLIK KESİNTİLER'!$A$2:$A$5000,$A220,'AYLIK KESİNTİLER'!$B$2:$B$5000,$E220))</f>
        <v/>
      </c>
      <c r="Q220" s="9">
        <f>IF($E220="","",$O220+$P220)</f>
        <v/>
      </c>
      <c r="R220" s="9">
        <f>IF($E220="","",$I220-$Q220)</f>
        <v/>
      </c>
      <c r="S220" s="12">
        <f>IF($E220="","",IF($R220&lt;=0,"KAPANDI",IF(COUNTIFS($A$2:$A$300,$A220,$F$2:$F$300,"&lt;"&amp;$F220,$R$2:$R$300,"&gt;0")=0,"ÖDEMEDE","SIRADA")))</f>
        <v/>
      </c>
      <c r="T220" s="7" t="n"/>
      <c r="U220" s="7" t="n"/>
      <c r="V220">
        <f>IF($E220="","",$A220&amp;"|"&amp;$S220)</f>
        <v/>
      </c>
    </row>
    <row r="221">
      <c r="A221" s="7" t="n"/>
      <c r="B221" s="8">
        <f>IF($A221="","",IFERROR(VLOOKUP($A221,PERSONEL!$A$2:$C$300,2,0),""))</f>
        <v/>
      </c>
      <c r="C221" s="9">
        <f>IF($A221="","",IFERROR(VLOOKUP($A221,PERSONEL!$A$2:$C$300,3,0),""))</f>
        <v/>
      </c>
      <c r="D221" s="10" t="n"/>
      <c r="E221" s="7" t="n"/>
      <c r="F221" s="7" t="n"/>
      <c r="G221" s="7" t="n"/>
      <c r="H221" s="7" t="n"/>
      <c r="I221" s="9" t="n"/>
      <c r="J221" s="7" t="n"/>
      <c r="K221" s="7" t="n"/>
      <c r="L221" s="7" t="n"/>
      <c r="M221" s="9" t="n"/>
      <c r="N221" s="9">
        <f>IF($E221="","",IF($S221&lt;&gt;"ÖDEMEDE",0,MIN($R221,IF($J221="Oran",IFERROR($C221*$K221/$L221,0),$M221))))</f>
        <v/>
      </c>
      <c r="O221" s="9" t="n"/>
      <c r="P221" s="9">
        <f>IF($E221="","",SUMIFS('AYLIK KESİNTİLER'!$E$2:$E$5000,'AYLIK KESİNTİLER'!$A$2:$A$5000,$A221,'AYLIK KESİNTİLER'!$B$2:$B$5000,$E221))</f>
        <v/>
      </c>
      <c r="Q221" s="9">
        <f>IF($E221="","",$O221+$P221)</f>
        <v/>
      </c>
      <c r="R221" s="9">
        <f>IF($E221="","",$I221-$Q221)</f>
        <v/>
      </c>
      <c r="S221" s="12">
        <f>IF($E221="","",IF($R221&lt;=0,"KAPANDI",IF(COUNTIFS($A$2:$A$300,$A221,$F$2:$F$300,"&lt;"&amp;$F221,$R$2:$R$300,"&gt;0")=0,"ÖDEMEDE","SIRADA")))</f>
        <v/>
      </c>
      <c r="T221" s="7" t="n"/>
      <c r="U221" s="7" t="n"/>
      <c r="V221">
        <f>IF($E221="","",$A221&amp;"|"&amp;$S221)</f>
        <v/>
      </c>
    </row>
    <row r="222">
      <c r="A222" s="7" t="n"/>
      <c r="B222" s="8">
        <f>IF($A222="","",IFERROR(VLOOKUP($A222,PERSONEL!$A$2:$C$300,2,0),""))</f>
        <v/>
      </c>
      <c r="C222" s="9">
        <f>IF($A222="","",IFERROR(VLOOKUP($A222,PERSONEL!$A$2:$C$300,3,0),""))</f>
        <v/>
      </c>
      <c r="D222" s="10" t="n"/>
      <c r="E222" s="7" t="n"/>
      <c r="F222" s="7" t="n"/>
      <c r="G222" s="7" t="n"/>
      <c r="H222" s="7" t="n"/>
      <c r="I222" s="9" t="n"/>
      <c r="J222" s="7" t="n"/>
      <c r="K222" s="7" t="n"/>
      <c r="L222" s="7" t="n"/>
      <c r="M222" s="9" t="n"/>
      <c r="N222" s="9">
        <f>IF($E222="","",IF($S222&lt;&gt;"ÖDEMEDE",0,MIN($R222,IF($J222="Oran",IFERROR($C222*$K222/$L222,0),$M222))))</f>
        <v/>
      </c>
      <c r="O222" s="9" t="n"/>
      <c r="P222" s="9">
        <f>IF($E222="","",SUMIFS('AYLIK KESİNTİLER'!$E$2:$E$5000,'AYLIK KESİNTİLER'!$A$2:$A$5000,$A222,'AYLIK KESİNTİLER'!$B$2:$B$5000,$E222))</f>
        <v/>
      </c>
      <c r="Q222" s="9">
        <f>IF($E222="","",$O222+$P222)</f>
        <v/>
      </c>
      <c r="R222" s="9">
        <f>IF($E222="","",$I222-$Q222)</f>
        <v/>
      </c>
      <c r="S222" s="12">
        <f>IF($E222="","",IF($R222&lt;=0,"KAPANDI",IF(COUNTIFS($A$2:$A$300,$A222,$F$2:$F$300,"&lt;"&amp;$F222,$R$2:$R$300,"&gt;0")=0,"ÖDEMEDE","SIRADA")))</f>
        <v/>
      </c>
      <c r="T222" s="7" t="n"/>
      <c r="U222" s="7" t="n"/>
      <c r="V222">
        <f>IF($E222="","",$A222&amp;"|"&amp;$S222)</f>
        <v/>
      </c>
    </row>
    <row r="223">
      <c r="A223" s="7" t="n"/>
      <c r="B223" s="8">
        <f>IF($A223="","",IFERROR(VLOOKUP($A223,PERSONEL!$A$2:$C$300,2,0),""))</f>
        <v/>
      </c>
      <c r="C223" s="9">
        <f>IF($A223="","",IFERROR(VLOOKUP($A223,PERSONEL!$A$2:$C$300,3,0),""))</f>
        <v/>
      </c>
      <c r="D223" s="10" t="n"/>
      <c r="E223" s="7" t="n"/>
      <c r="F223" s="7" t="n"/>
      <c r="G223" s="7" t="n"/>
      <c r="H223" s="7" t="n"/>
      <c r="I223" s="9" t="n"/>
      <c r="J223" s="7" t="n"/>
      <c r="K223" s="7" t="n"/>
      <c r="L223" s="7" t="n"/>
      <c r="M223" s="9" t="n"/>
      <c r="N223" s="9">
        <f>IF($E223="","",IF($S223&lt;&gt;"ÖDEMEDE",0,MIN($R223,IF($J223="Oran",IFERROR($C223*$K223/$L223,0),$M223))))</f>
        <v/>
      </c>
      <c r="O223" s="9" t="n"/>
      <c r="P223" s="9">
        <f>IF($E223="","",SUMIFS('AYLIK KESİNTİLER'!$E$2:$E$5000,'AYLIK KESİNTİLER'!$A$2:$A$5000,$A223,'AYLIK KESİNTİLER'!$B$2:$B$5000,$E223))</f>
        <v/>
      </c>
      <c r="Q223" s="9">
        <f>IF($E223="","",$O223+$P223)</f>
        <v/>
      </c>
      <c r="R223" s="9">
        <f>IF($E223="","",$I223-$Q223)</f>
        <v/>
      </c>
      <c r="S223" s="12">
        <f>IF($E223="","",IF($R223&lt;=0,"KAPANDI",IF(COUNTIFS($A$2:$A$300,$A223,$F$2:$F$300,"&lt;"&amp;$F223,$R$2:$R$300,"&gt;0")=0,"ÖDEMEDE","SIRADA")))</f>
        <v/>
      </c>
      <c r="T223" s="7" t="n"/>
      <c r="U223" s="7" t="n"/>
      <c r="V223">
        <f>IF($E223="","",$A223&amp;"|"&amp;$S223)</f>
        <v/>
      </c>
    </row>
    <row r="224">
      <c r="A224" s="7" t="n"/>
      <c r="B224" s="8">
        <f>IF($A224="","",IFERROR(VLOOKUP($A224,PERSONEL!$A$2:$C$300,2,0),""))</f>
        <v/>
      </c>
      <c r="C224" s="9">
        <f>IF($A224="","",IFERROR(VLOOKUP($A224,PERSONEL!$A$2:$C$300,3,0),""))</f>
        <v/>
      </c>
      <c r="D224" s="10" t="n"/>
      <c r="E224" s="7" t="n"/>
      <c r="F224" s="7" t="n"/>
      <c r="G224" s="7" t="n"/>
      <c r="H224" s="7" t="n"/>
      <c r="I224" s="9" t="n"/>
      <c r="J224" s="7" t="n"/>
      <c r="K224" s="7" t="n"/>
      <c r="L224" s="7" t="n"/>
      <c r="M224" s="9" t="n"/>
      <c r="N224" s="9">
        <f>IF($E224="","",IF($S224&lt;&gt;"ÖDEMEDE",0,MIN($R224,IF($J224="Oran",IFERROR($C224*$K224/$L224,0),$M224))))</f>
        <v/>
      </c>
      <c r="O224" s="9" t="n"/>
      <c r="P224" s="9">
        <f>IF($E224="","",SUMIFS('AYLIK KESİNTİLER'!$E$2:$E$5000,'AYLIK KESİNTİLER'!$A$2:$A$5000,$A224,'AYLIK KESİNTİLER'!$B$2:$B$5000,$E224))</f>
        <v/>
      </c>
      <c r="Q224" s="9">
        <f>IF($E224="","",$O224+$P224)</f>
        <v/>
      </c>
      <c r="R224" s="9">
        <f>IF($E224="","",$I224-$Q224)</f>
        <v/>
      </c>
      <c r="S224" s="12">
        <f>IF($E224="","",IF($R224&lt;=0,"KAPANDI",IF(COUNTIFS($A$2:$A$300,$A224,$F$2:$F$300,"&lt;"&amp;$F224,$R$2:$R$300,"&gt;0")=0,"ÖDEMEDE","SIRADA")))</f>
        <v/>
      </c>
      <c r="T224" s="7" t="n"/>
      <c r="U224" s="7" t="n"/>
      <c r="V224">
        <f>IF($E224="","",$A224&amp;"|"&amp;$S224)</f>
        <v/>
      </c>
    </row>
    <row r="225">
      <c r="A225" s="7" t="n"/>
      <c r="B225" s="8">
        <f>IF($A225="","",IFERROR(VLOOKUP($A225,PERSONEL!$A$2:$C$300,2,0),""))</f>
        <v/>
      </c>
      <c r="C225" s="9">
        <f>IF($A225="","",IFERROR(VLOOKUP($A225,PERSONEL!$A$2:$C$300,3,0),""))</f>
        <v/>
      </c>
      <c r="D225" s="10" t="n"/>
      <c r="E225" s="7" t="n"/>
      <c r="F225" s="7" t="n"/>
      <c r="G225" s="7" t="n"/>
      <c r="H225" s="7" t="n"/>
      <c r="I225" s="9" t="n"/>
      <c r="J225" s="7" t="n"/>
      <c r="K225" s="7" t="n"/>
      <c r="L225" s="7" t="n"/>
      <c r="M225" s="9" t="n"/>
      <c r="N225" s="9">
        <f>IF($E225="","",IF($S225&lt;&gt;"ÖDEMEDE",0,MIN($R225,IF($J225="Oran",IFERROR($C225*$K225/$L225,0),$M225))))</f>
        <v/>
      </c>
      <c r="O225" s="9" t="n"/>
      <c r="P225" s="9">
        <f>IF($E225="","",SUMIFS('AYLIK KESİNTİLER'!$E$2:$E$5000,'AYLIK KESİNTİLER'!$A$2:$A$5000,$A225,'AYLIK KESİNTİLER'!$B$2:$B$5000,$E225))</f>
        <v/>
      </c>
      <c r="Q225" s="9">
        <f>IF($E225="","",$O225+$P225)</f>
        <v/>
      </c>
      <c r="R225" s="9">
        <f>IF($E225="","",$I225-$Q225)</f>
        <v/>
      </c>
      <c r="S225" s="12">
        <f>IF($E225="","",IF($R225&lt;=0,"KAPANDI",IF(COUNTIFS($A$2:$A$300,$A225,$F$2:$F$300,"&lt;"&amp;$F225,$R$2:$R$300,"&gt;0")=0,"ÖDEMEDE","SIRADA")))</f>
        <v/>
      </c>
      <c r="T225" s="7" t="n"/>
      <c r="U225" s="7" t="n"/>
      <c r="V225">
        <f>IF($E225="","",$A225&amp;"|"&amp;$S225)</f>
        <v/>
      </c>
    </row>
    <row r="226">
      <c r="A226" s="7" t="n"/>
      <c r="B226" s="8">
        <f>IF($A226="","",IFERROR(VLOOKUP($A226,PERSONEL!$A$2:$C$300,2,0),""))</f>
        <v/>
      </c>
      <c r="C226" s="9">
        <f>IF($A226="","",IFERROR(VLOOKUP($A226,PERSONEL!$A$2:$C$300,3,0),""))</f>
        <v/>
      </c>
      <c r="D226" s="10" t="n"/>
      <c r="E226" s="7" t="n"/>
      <c r="F226" s="7" t="n"/>
      <c r="G226" s="7" t="n"/>
      <c r="H226" s="7" t="n"/>
      <c r="I226" s="9" t="n"/>
      <c r="J226" s="7" t="n"/>
      <c r="K226" s="7" t="n"/>
      <c r="L226" s="7" t="n"/>
      <c r="M226" s="9" t="n"/>
      <c r="N226" s="9">
        <f>IF($E226="","",IF($S226&lt;&gt;"ÖDEMEDE",0,MIN($R226,IF($J226="Oran",IFERROR($C226*$K226/$L226,0),$M226))))</f>
        <v/>
      </c>
      <c r="O226" s="9" t="n"/>
      <c r="P226" s="9">
        <f>IF($E226="","",SUMIFS('AYLIK KESİNTİLER'!$E$2:$E$5000,'AYLIK KESİNTİLER'!$A$2:$A$5000,$A226,'AYLIK KESİNTİLER'!$B$2:$B$5000,$E226))</f>
        <v/>
      </c>
      <c r="Q226" s="9">
        <f>IF($E226="","",$O226+$P226)</f>
        <v/>
      </c>
      <c r="R226" s="9">
        <f>IF($E226="","",$I226-$Q226)</f>
        <v/>
      </c>
      <c r="S226" s="12">
        <f>IF($E226="","",IF($R226&lt;=0,"KAPANDI",IF(COUNTIFS($A$2:$A$300,$A226,$F$2:$F$300,"&lt;"&amp;$F226,$R$2:$R$300,"&gt;0")=0,"ÖDEMEDE","SIRADA")))</f>
        <v/>
      </c>
      <c r="T226" s="7" t="n"/>
      <c r="U226" s="7" t="n"/>
      <c r="V226">
        <f>IF($E226="","",$A226&amp;"|"&amp;$S226)</f>
        <v/>
      </c>
    </row>
    <row r="227">
      <c r="A227" s="7" t="n"/>
      <c r="B227" s="8">
        <f>IF($A227="","",IFERROR(VLOOKUP($A227,PERSONEL!$A$2:$C$300,2,0),""))</f>
        <v/>
      </c>
      <c r="C227" s="9">
        <f>IF($A227="","",IFERROR(VLOOKUP($A227,PERSONEL!$A$2:$C$300,3,0),""))</f>
        <v/>
      </c>
      <c r="D227" s="10" t="n"/>
      <c r="E227" s="7" t="n"/>
      <c r="F227" s="7" t="n"/>
      <c r="G227" s="7" t="n"/>
      <c r="H227" s="7" t="n"/>
      <c r="I227" s="9" t="n"/>
      <c r="J227" s="7" t="n"/>
      <c r="K227" s="7" t="n"/>
      <c r="L227" s="7" t="n"/>
      <c r="M227" s="9" t="n"/>
      <c r="N227" s="9">
        <f>IF($E227="","",IF($S227&lt;&gt;"ÖDEMEDE",0,MIN($R227,IF($J227="Oran",IFERROR($C227*$K227/$L227,0),$M227))))</f>
        <v/>
      </c>
      <c r="O227" s="9" t="n"/>
      <c r="P227" s="9">
        <f>IF($E227="","",SUMIFS('AYLIK KESİNTİLER'!$E$2:$E$5000,'AYLIK KESİNTİLER'!$A$2:$A$5000,$A227,'AYLIK KESİNTİLER'!$B$2:$B$5000,$E227))</f>
        <v/>
      </c>
      <c r="Q227" s="9">
        <f>IF($E227="","",$O227+$P227)</f>
        <v/>
      </c>
      <c r="R227" s="9">
        <f>IF($E227="","",$I227-$Q227)</f>
        <v/>
      </c>
      <c r="S227" s="12">
        <f>IF($E227="","",IF($R227&lt;=0,"KAPANDI",IF(COUNTIFS($A$2:$A$300,$A227,$F$2:$F$300,"&lt;"&amp;$F227,$R$2:$R$300,"&gt;0")=0,"ÖDEMEDE","SIRADA")))</f>
        <v/>
      </c>
      <c r="T227" s="7" t="n"/>
      <c r="U227" s="7" t="n"/>
      <c r="V227">
        <f>IF($E227="","",$A227&amp;"|"&amp;$S227)</f>
        <v/>
      </c>
    </row>
    <row r="228">
      <c r="A228" s="7" t="n"/>
      <c r="B228" s="8">
        <f>IF($A228="","",IFERROR(VLOOKUP($A228,PERSONEL!$A$2:$C$300,2,0),""))</f>
        <v/>
      </c>
      <c r="C228" s="9">
        <f>IF($A228="","",IFERROR(VLOOKUP($A228,PERSONEL!$A$2:$C$300,3,0),""))</f>
        <v/>
      </c>
      <c r="D228" s="10" t="n"/>
      <c r="E228" s="7" t="n"/>
      <c r="F228" s="7" t="n"/>
      <c r="G228" s="7" t="n"/>
      <c r="H228" s="7" t="n"/>
      <c r="I228" s="9" t="n"/>
      <c r="J228" s="7" t="n"/>
      <c r="K228" s="7" t="n"/>
      <c r="L228" s="7" t="n"/>
      <c r="M228" s="9" t="n"/>
      <c r="N228" s="9">
        <f>IF($E228="","",IF($S228&lt;&gt;"ÖDEMEDE",0,MIN($R228,IF($J228="Oran",IFERROR($C228*$K228/$L228,0),$M228))))</f>
        <v/>
      </c>
      <c r="O228" s="9" t="n"/>
      <c r="P228" s="9">
        <f>IF($E228="","",SUMIFS('AYLIK KESİNTİLER'!$E$2:$E$5000,'AYLIK KESİNTİLER'!$A$2:$A$5000,$A228,'AYLIK KESİNTİLER'!$B$2:$B$5000,$E228))</f>
        <v/>
      </c>
      <c r="Q228" s="9">
        <f>IF($E228="","",$O228+$P228)</f>
        <v/>
      </c>
      <c r="R228" s="9">
        <f>IF($E228="","",$I228-$Q228)</f>
        <v/>
      </c>
      <c r="S228" s="12">
        <f>IF($E228="","",IF($R228&lt;=0,"KAPANDI",IF(COUNTIFS($A$2:$A$300,$A228,$F$2:$F$300,"&lt;"&amp;$F228,$R$2:$R$300,"&gt;0")=0,"ÖDEMEDE","SIRADA")))</f>
        <v/>
      </c>
      <c r="T228" s="7" t="n"/>
      <c r="U228" s="7" t="n"/>
      <c r="V228">
        <f>IF($E228="","",$A228&amp;"|"&amp;$S228)</f>
        <v/>
      </c>
    </row>
    <row r="229">
      <c r="A229" s="7" t="n"/>
      <c r="B229" s="8">
        <f>IF($A229="","",IFERROR(VLOOKUP($A229,PERSONEL!$A$2:$C$300,2,0),""))</f>
        <v/>
      </c>
      <c r="C229" s="9">
        <f>IF($A229="","",IFERROR(VLOOKUP($A229,PERSONEL!$A$2:$C$300,3,0),""))</f>
        <v/>
      </c>
      <c r="D229" s="10" t="n"/>
      <c r="E229" s="7" t="n"/>
      <c r="F229" s="7" t="n"/>
      <c r="G229" s="7" t="n"/>
      <c r="H229" s="7" t="n"/>
      <c r="I229" s="9" t="n"/>
      <c r="J229" s="7" t="n"/>
      <c r="K229" s="7" t="n"/>
      <c r="L229" s="7" t="n"/>
      <c r="M229" s="9" t="n"/>
      <c r="N229" s="9">
        <f>IF($E229="","",IF($S229&lt;&gt;"ÖDEMEDE",0,MIN($R229,IF($J229="Oran",IFERROR($C229*$K229/$L229,0),$M229))))</f>
        <v/>
      </c>
      <c r="O229" s="9" t="n"/>
      <c r="P229" s="9">
        <f>IF($E229="","",SUMIFS('AYLIK KESİNTİLER'!$E$2:$E$5000,'AYLIK KESİNTİLER'!$A$2:$A$5000,$A229,'AYLIK KESİNTİLER'!$B$2:$B$5000,$E229))</f>
        <v/>
      </c>
      <c r="Q229" s="9">
        <f>IF($E229="","",$O229+$P229)</f>
        <v/>
      </c>
      <c r="R229" s="9">
        <f>IF($E229="","",$I229-$Q229)</f>
        <v/>
      </c>
      <c r="S229" s="12">
        <f>IF($E229="","",IF($R229&lt;=0,"KAPANDI",IF(COUNTIFS($A$2:$A$300,$A229,$F$2:$F$300,"&lt;"&amp;$F229,$R$2:$R$300,"&gt;0")=0,"ÖDEMEDE","SIRADA")))</f>
        <v/>
      </c>
      <c r="T229" s="7" t="n"/>
      <c r="U229" s="7" t="n"/>
      <c r="V229">
        <f>IF($E229="","",$A229&amp;"|"&amp;$S229)</f>
        <v/>
      </c>
    </row>
    <row r="230">
      <c r="A230" s="7" t="n"/>
      <c r="B230" s="8">
        <f>IF($A230="","",IFERROR(VLOOKUP($A230,PERSONEL!$A$2:$C$300,2,0),""))</f>
        <v/>
      </c>
      <c r="C230" s="9">
        <f>IF($A230="","",IFERROR(VLOOKUP($A230,PERSONEL!$A$2:$C$300,3,0),""))</f>
        <v/>
      </c>
      <c r="D230" s="10" t="n"/>
      <c r="E230" s="7" t="n"/>
      <c r="F230" s="7" t="n"/>
      <c r="G230" s="7" t="n"/>
      <c r="H230" s="7" t="n"/>
      <c r="I230" s="9" t="n"/>
      <c r="J230" s="7" t="n"/>
      <c r="K230" s="7" t="n"/>
      <c r="L230" s="7" t="n"/>
      <c r="M230" s="9" t="n"/>
      <c r="N230" s="9">
        <f>IF($E230="","",IF($S230&lt;&gt;"ÖDEMEDE",0,MIN($R230,IF($J230="Oran",IFERROR($C230*$K230/$L230,0),$M230))))</f>
        <v/>
      </c>
      <c r="O230" s="9" t="n"/>
      <c r="P230" s="9">
        <f>IF($E230="","",SUMIFS('AYLIK KESİNTİLER'!$E$2:$E$5000,'AYLIK KESİNTİLER'!$A$2:$A$5000,$A230,'AYLIK KESİNTİLER'!$B$2:$B$5000,$E230))</f>
        <v/>
      </c>
      <c r="Q230" s="9">
        <f>IF($E230="","",$O230+$P230)</f>
        <v/>
      </c>
      <c r="R230" s="9">
        <f>IF($E230="","",$I230-$Q230)</f>
        <v/>
      </c>
      <c r="S230" s="12">
        <f>IF($E230="","",IF($R230&lt;=0,"KAPANDI",IF(COUNTIFS($A$2:$A$300,$A230,$F$2:$F$300,"&lt;"&amp;$F230,$R$2:$R$300,"&gt;0")=0,"ÖDEMEDE","SIRADA")))</f>
        <v/>
      </c>
      <c r="T230" s="7" t="n"/>
      <c r="U230" s="7" t="n"/>
      <c r="V230">
        <f>IF($E230="","",$A230&amp;"|"&amp;$S230)</f>
        <v/>
      </c>
    </row>
    <row r="231">
      <c r="A231" s="7" t="n"/>
      <c r="B231" s="8">
        <f>IF($A231="","",IFERROR(VLOOKUP($A231,PERSONEL!$A$2:$C$300,2,0),""))</f>
        <v/>
      </c>
      <c r="C231" s="9">
        <f>IF($A231="","",IFERROR(VLOOKUP($A231,PERSONEL!$A$2:$C$300,3,0),""))</f>
        <v/>
      </c>
      <c r="D231" s="10" t="n"/>
      <c r="E231" s="7" t="n"/>
      <c r="F231" s="7" t="n"/>
      <c r="G231" s="7" t="n"/>
      <c r="H231" s="7" t="n"/>
      <c r="I231" s="9" t="n"/>
      <c r="J231" s="7" t="n"/>
      <c r="K231" s="7" t="n"/>
      <c r="L231" s="7" t="n"/>
      <c r="M231" s="9" t="n"/>
      <c r="N231" s="9">
        <f>IF($E231="","",IF($S231&lt;&gt;"ÖDEMEDE",0,MIN($R231,IF($J231="Oran",IFERROR($C231*$K231/$L231,0),$M231))))</f>
        <v/>
      </c>
      <c r="O231" s="9" t="n"/>
      <c r="P231" s="9">
        <f>IF($E231="","",SUMIFS('AYLIK KESİNTİLER'!$E$2:$E$5000,'AYLIK KESİNTİLER'!$A$2:$A$5000,$A231,'AYLIK KESİNTİLER'!$B$2:$B$5000,$E231))</f>
        <v/>
      </c>
      <c r="Q231" s="9">
        <f>IF($E231="","",$O231+$P231)</f>
        <v/>
      </c>
      <c r="R231" s="9">
        <f>IF($E231="","",$I231-$Q231)</f>
        <v/>
      </c>
      <c r="S231" s="12">
        <f>IF($E231="","",IF($R231&lt;=0,"KAPANDI",IF(COUNTIFS($A$2:$A$300,$A231,$F$2:$F$300,"&lt;"&amp;$F231,$R$2:$R$300,"&gt;0")=0,"ÖDEMEDE","SIRADA")))</f>
        <v/>
      </c>
      <c r="T231" s="7" t="n"/>
      <c r="U231" s="7" t="n"/>
      <c r="V231">
        <f>IF($E231="","",$A231&amp;"|"&amp;$S231)</f>
        <v/>
      </c>
    </row>
    <row r="232">
      <c r="A232" s="7" t="n"/>
      <c r="B232" s="8">
        <f>IF($A232="","",IFERROR(VLOOKUP($A232,PERSONEL!$A$2:$C$300,2,0),""))</f>
        <v/>
      </c>
      <c r="C232" s="9">
        <f>IF($A232="","",IFERROR(VLOOKUP($A232,PERSONEL!$A$2:$C$300,3,0),""))</f>
        <v/>
      </c>
      <c r="D232" s="10" t="n"/>
      <c r="E232" s="7" t="n"/>
      <c r="F232" s="7" t="n"/>
      <c r="G232" s="7" t="n"/>
      <c r="H232" s="7" t="n"/>
      <c r="I232" s="9" t="n"/>
      <c r="J232" s="7" t="n"/>
      <c r="K232" s="7" t="n"/>
      <c r="L232" s="7" t="n"/>
      <c r="M232" s="9" t="n"/>
      <c r="N232" s="9">
        <f>IF($E232="","",IF($S232&lt;&gt;"ÖDEMEDE",0,MIN($R232,IF($J232="Oran",IFERROR($C232*$K232/$L232,0),$M232))))</f>
        <v/>
      </c>
      <c r="O232" s="9" t="n"/>
      <c r="P232" s="9">
        <f>IF($E232="","",SUMIFS('AYLIK KESİNTİLER'!$E$2:$E$5000,'AYLIK KESİNTİLER'!$A$2:$A$5000,$A232,'AYLIK KESİNTİLER'!$B$2:$B$5000,$E232))</f>
        <v/>
      </c>
      <c r="Q232" s="9">
        <f>IF($E232="","",$O232+$P232)</f>
        <v/>
      </c>
      <c r="R232" s="9">
        <f>IF($E232="","",$I232-$Q232)</f>
        <v/>
      </c>
      <c r="S232" s="12">
        <f>IF($E232="","",IF($R232&lt;=0,"KAPANDI",IF(COUNTIFS($A$2:$A$300,$A232,$F$2:$F$300,"&lt;"&amp;$F232,$R$2:$R$300,"&gt;0")=0,"ÖDEMEDE","SIRADA")))</f>
        <v/>
      </c>
      <c r="T232" s="7" t="n"/>
      <c r="U232" s="7" t="n"/>
      <c r="V232">
        <f>IF($E232="","",$A232&amp;"|"&amp;$S232)</f>
        <v/>
      </c>
    </row>
    <row r="233">
      <c r="A233" s="7" t="n"/>
      <c r="B233" s="8">
        <f>IF($A233="","",IFERROR(VLOOKUP($A233,PERSONEL!$A$2:$C$300,2,0),""))</f>
        <v/>
      </c>
      <c r="C233" s="9">
        <f>IF($A233="","",IFERROR(VLOOKUP($A233,PERSONEL!$A$2:$C$300,3,0),""))</f>
        <v/>
      </c>
      <c r="D233" s="10" t="n"/>
      <c r="E233" s="7" t="n"/>
      <c r="F233" s="7" t="n"/>
      <c r="G233" s="7" t="n"/>
      <c r="H233" s="7" t="n"/>
      <c r="I233" s="9" t="n"/>
      <c r="J233" s="7" t="n"/>
      <c r="K233" s="7" t="n"/>
      <c r="L233" s="7" t="n"/>
      <c r="M233" s="9" t="n"/>
      <c r="N233" s="9">
        <f>IF($E233="","",IF($S233&lt;&gt;"ÖDEMEDE",0,MIN($R233,IF($J233="Oran",IFERROR($C233*$K233/$L233,0),$M233))))</f>
        <v/>
      </c>
      <c r="O233" s="9" t="n"/>
      <c r="P233" s="9">
        <f>IF($E233="","",SUMIFS('AYLIK KESİNTİLER'!$E$2:$E$5000,'AYLIK KESİNTİLER'!$A$2:$A$5000,$A233,'AYLIK KESİNTİLER'!$B$2:$B$5000,$E233))</f>
        <v/>
      </c>
      <c r="Q233" s="9">
        <f>IF($E233="","",$O233+$P233)</f>
        <v/>
      </c>
      <c r="R233" s="9">
        <f>IF($E233="","",$I233-$Q233)</f>
        <v/>
      </c>
      <c r="S233" s="12">
        <f>IF($E233="","",IF($R233&lt;=0,"KAPANDI",IF(COUNTIFS($A$2:$A$300,$A233,$F$2:$F$300,"&lt;"&amp;$F233,$R$2:$R$300,"&gt;0")=0,"ÖDEMEDE","SIRADA")))</f>
        <v/>
      </c>
      <c r="T233" s="7" t="n"/>
      <c r="U233" s="7" t="n"/>
      <c r="V233">
        <f>IF($E233="","",$A233&amp;"|"&amp;$S233)</f>
        <v/>
      </c>
    </row>
    <row r="234">
      <c r="A234" s="7" t="n"/>
      <c r="B234" s="8">
        <f>IF($A234="","",IFERROR(VLOOKUP($A234,PERSONEL!$A$2:$C$300,2,0),""))</f>
        <v/>
      </c>
      <c r="C234" s="9">
        <f>IF($A234="","",IFERROR(VLOOKUP($A234,PERSONEL!$A$2:$C$300,3,0),""))</f>
        <v/>
      </c>
      <c r="D234" s="10" t="n"/>
      <c r="E234" s="7" t="n"/>
      <c r="F234" s="7" t="n"/>
      <c r="G234" s="7" t="n"/>
      <c r="H234" s="7" t="n"/>
      <c r="I234" s="9" t="n"/>
      <c r="J234" s="7" t="n"/>
      <c r="K234" s="7" t="n"/>
      <c r="L234" s="7" t="n"/>
      <c r="M234" s="9" t="n"/>
      <c r="N234" s="9">
        <f>IF($E234="","",IF($S234&lt;&gt;"ÖDEMEDE",0,MIN($R234,IF($J234="Oran",IFERROR($C234*$K234/$L234,0),$M234))))</f>
        <v/>
      </c>
      <c r="O234" s="9" t="n"/>
      <c r="P234" s="9">
        <f>IF($E234="","",SUMIFS('AYLIK KESİNTİLER'!$E$2:$E$5000,'AYLIK KESİNTİLER'!$A$2:$A$5000,$A234,'AYLIK KESİNTİLER'!$B$2:$B$5000,$E234))</f>
        <v/>
      </c>
      <c r="Q234" s="9">
        <f>IF($E234="","",$O234+$P234)</f>
        <v/>
      </c>
      <c r="R234" s="9">
        <f>IF($E234="","",$I234-$Q234)</f>
        <v/>
      </c>
      <c r="S234" s="12">
        <f>IF($E234="","",IF($R234&lt;=0,"KAPANDI",IF(COUNTIFS($A$2:$A$300,$A234,$F$2:$F$300,"&lt;"&amp;$F234,$R$2:$R$300,"&gt;0")=0,"ÖDEMEDE","SIRADA")))</f>
        <v/>
      </c>
      <c r="T234" s="7" t="n"/>
      <c r="U234" s="7" t="n"/>
      <c r="V234">
        <f>IF($E234="","",$A234&amp;"|"&amp;$S234)</f>
        <v/>
      </c>
    </row>
    <row r="235">
      <c r="A235" s="7" t="n"/>
      <c r="B235" s="8">
        <f>IF($A235="","",IFERROR(VLOOKUP($A235,PERSONEL!$A$2:$C$300,2,0),""))</f>
        <v/>
      </c>
      <c r="C235" s="9">
        <f>IF($A235="","",IFERROR(VLOOKUP($A235,PERSONEL!$A$2:$C$300,3,0),""))</f>
        <v/>
      </c>
      <c r="D235" s="10" t="n"/>
      <c r="E235" s="7" t="n"/>
      <c r="F235" s="7" t="n"/>
      <c r="G235" s="7" t="n"/>
      <c r="H235" s="7" t="n"/>
      <c r="I235" s="9" t="n"/>
      <c r="J235" s="7" t="n"/>
      <c r="K235" s="7" t="n"/>
      <c r="L235" s="7" t="n"/>
      <c r="M235" s="9" t="n"/>
      <c r="N235" s="9">
        <f>IF($E235="","",IF($S235&lt;&gt;"ÖDEMEDE",0,MIN($R235,IF($J235="Oran",IFERROR($C235*$K235/$L235,0),$M235))))</f>
        <v/>
      </c>
      <c r="O235" s="9" t="n"/>
      <c r="P235" s="9">
        <f>IF($E235="","",SUMIFS('AYLIK KESİNTİLER'!$E$2:$E$5000,'AYLIK KESİNTİLER'!$A$2:$A$5000,$A235,'AYLIK KESİNTİLER'!$B$2:$B$5000,$E235))</f>
        <v/>
      </c>
      <c r="Q235" s="9">
        <f>IF($E235="","",$O235+$P235)</f>
        <v/>
      </c>
      <c r="R235" s="9">
        <f>IF($E235="","",$I235-$Q235)</f>
        <v/>
      </c>
      <c r="S235" s="12">
        <f>IF($E235="","",IF($R235&lt;=0,"KAPANDI",IF(COUNTIFS($A$2:$A$300,$A235,$F$2:$F$300,"&lt;"&amp;$F235,$R$2:$R$300,"&gt;0")=0,"ÖDEMEDE","SIRADA")))</f>
        <v/>
      </c>
      <c r="T235" s="7" t="n"/>
      <c r="U235" s="7" t="n"/>
      <c r="V235">
        <f>IF($E235="","",$A235&amp;"|"&amp;$S235)</f>
        <v/>
      </c>
    </row>
    <row r="236">
      <c r="A236" s="7" t="n"/>
      <c r="B236" s="8">
        <f>IF($A236="","",IFERROR(VLOOKUP($A236,PERSONEL!$A$2:$C$300,2,0),""))</f>
        <v/>
      </c>
      <c r="C236" s="9">
        <f>IF($A236="","",IFERROR(VLOOKUP($A236,PERSONEL!$A$2:$C$300,3,0),""))</f>
        <v/>
      </c>
      <c r="D236" s="10" t="n"/>
      <c r="E236" s="7" t="n"/>
      <c r="F236" s="7" t="n"/>
      <c r="G236" s="7" t="n"/>
      <c r="H236" s="7" t="n"/>
      <c r="I236" s="9" t="n"/>
      <c r="J236" s="7" t="n"/>
      <c r="K236" s="7" t="n"/>
      <c r="L236" s="7" t="n"/>
      <c r="M236" s="9" t="n"/>
      <c r="N236" s="9">
        <f>IF($E236="","",IF($S236&lt;&gt;"ÖDEMEDE",0,MIN($R236,IF($J236="Oran",IFERROR($C236*$K236/$L236,0),$M236))))</f>
        <v/>
      </c>
      <c r="O236" s="9" t="n"/>
      <c r="P236" s="9">
        <f>IF($E236="","",SUMIFS('AYLIK KESİNTİLER'!$E$2:$E$5000,'AYLIK KESİNTİLER'!$A$2:$A$5000,$A236,'AYLIK KESİNTİLER'!$B$2:$B$5000,$E236))</f>
        <v/>
      </c>
      <c r="Q236" s="9">
        <f>IF($E236="","",$O236+$P236)</f>
        <v/>
      </c>
      <c r="R236" s="9">
        <f>IF($E236="","",$I236-$Q236)</f>
        <v/>
      </c>
      <c r="S236" s="12">
        <f>IF($E236="","",IF($R236&lt;=0,"KAPANDI",IF(COUNTIFS($A$2:$A$300,$A236,$F$2:$F$300,"&lt;"&amp;$F236,$R$2:$R$300,"&gt;0")=0,"ÖDEMEDE","SIRADA")))</f>
        <v/>
      </c>
      <c r="T236" s="7" t="n"/>
      <c r="U236" s="7" t="n"/>
      <c r="V236">
        <f>IF($E236="","",$A236&amp;"|"&amp;$S236)</f>
        <v/>
      </c>
    </row>
    <row r="237">
      <c r="A237" s="7" t="n"/>
      <c r="B237" s="8">
        <f>IF($A237="","",IFERROR(VLOOKUP($A237,PERSONEL!$A$2:$C$300,2,0),""))</f>
        <v/>
      </c>
      <c r="C237" s="9">
        <f>IF($A237="","",IFERROR(VLOOKUP($A237,PERSONEL!$A$2:$C$300,3,0),""))</f>
        <v/>
      </c>
      <c r="D237" s="10" t="n"/>
      <c r="E237" s="7" t="n"/>
      <c r="F237" s="7" t="n"/>
      <c r="G237" s="7" t="n"/>
      <c r="H237" s="7" t="n"/>
      <c r="I237" s="9" t="n"/>
      <c r="J237" s="7" t="n"/>
      <c r="K237" s="7" t="n"/>
      <c r="L237" s="7" t="n"/>
      <c r="M237" s="9" t="n"/>
      <c r="N237" s="9">
        <f>IF($E237="","",IF($S237&lt;&gt;"ÖDEMEDE",0,MIN($R237,IF($J237="Oran",IFERROR($C237*$K237/$L237,0),$M237))))</f>
        <v/>
      </c>
      <c r="O237" s="9" t="n"/>
      <c r="P237" s="9">
        <f>IF($E237="","",SUMIFS('AYLIK KESİNTİLER'!$E$2:$E$5000,'AYLIK KESİNTİLER'!$A$2:$A$5000,$A237,'AYLIK KESİNTİLER'!$B$2:$B$5000,$E237))</f>
        <v/>
      </c>
      <c r="Q237" s="9">
        <f>IF($E237="","",$O237+$P237)</f>
        <v/>
      </c>
      <c r="R237" s="9">
        <f>IF($E237="","",$I237-$Q237)</f>
        <v/>
      </c>
      <c r="S237" s="12">
        <f>IF($E237="","",IF($R237&lt;=0,"KAPANDI",IF(COUNTIFS($A$2:$A$300,$A237,$F$2:$F$300,"&lt;"&amp;$F237,$R$2:$R$300,"&gt;0")=0,"ÖDEMEDE","SIRADA")))</f>
        <v/>
      </c>
      <c r="T237" s="7" t="n"/>
      <c r="U237" s="7" t="n"/>
      <c r="V237">
        <f>IF($E237="","",$A237&amp;"|"&amp;$S237)</f>
        <v/>
      </c>
    </row>
    <row r="238">
      <c r="A238" s="7" t="n"/>
      <c r="B238" s="8">
        <f>IF($A238="","",IFERROR(VLOOKUP($A238,PERSONEL!$A$2:$C$300,2,0),""))</f>
        <v/>
      </c>
      <c r="C238" s="9">
        <f>IF($A238="","",IFERROR(VLOOKUP($A238,PERSONEL!$A$2:$C$300,3,0),""))</f>
        <v/>
      </c>
      <c r="D238" s="10" t="n"/>
      <c r="E238" s="7" t="n"/>
      <c r="F238" s="7" t="n"/>
      <c r="G238" s="7" t="n"/>
      <c r="H238" s="7" t="n"/>
      <c r="I238" s="9" t="n"/>
      <c r="J238" s="7" t="n"/>
      <c r="K238" s="7" t="n"/>
      <c r="L238" s="7" t="n"/>
      <c r="M238" s="9" t="n"/>
      <c r="N238" s="9">
        <f>IF($E238="","",IF($S238&lt;&gt;"ÖDEMEDE",0,MIN($R238,IF($J238="Oran",IFERROR($C238*$K238/$L238,0),$M238))))</f>
        <v/>
      </c>
      <c r="O238" s="9" t="n"/>
      <c r="P238" s="9">
        <f>IF($E238="","",SUMIFS('AYLIK KESİNTİLER'!$E$2:$E$5000,'AYLIK KESİNTİLER'!$A$2:$A$5000,$A238,'AYLIK KESİNTİLER'!$B$2:$B$5000,$E238))</f>
        <v/>
      </c>
      <c r="Q238" s="9">
        <f>IF($E238="","",$O238+$P238)</f>
        <v/>
      </c>
      <c r="R238" s="9">
        <f>IF($E238="","",$I238-$Q238)</f>
        <v/>
      </c>
      <c r="S238" s="12">
        <f>IF($E238="","",IF($R238&lt;=0,"KAPANDI",IF(COUNTIFS($A$2:$A$300,$A238,$F$2:$F$300,"&lt;"&amp;$F238,$R$2:$R$300,"&gt;0")=0,"ÖDEMEDE","SIRADA")))</f>
        <v/>
      </c>
      <c r="T238" s="7" t="n"/>
      <c r="U238" s="7" t="n"/>
      <c r="V238">
        <f>IF($E238="","",$A238&amp;"|"&amp;$S238)</f>
        <v/>
      </c>
    </row>
    <row r="239">
      <c r="A239" s="7" t="n"/>
      <c r="B239" s="8">
        <f>IF($A239="","",IFERROR(VLOOKUP($A239,PERSONEL!$A$2:$C$300,2,0),""))</f>
        <v/>
      </c>
      <c r="C239" s="9">
        <f>IF($A239="","",IFERROR(VLOOKUP($A239,PERSONEL!$A$2:$C$300,3,0),""))</f>
        <v/>
      </c>
      <c r="D239" s="10" t="n"/>
      <c r="E239" s="7" t="n"/>
      <c r="F239" s="7" t="n"/>
      <c r="G239" s="7" t="n"/>
      <c r="H239" s="7" t="n"/>
      <c r="I239" s="9" t="n"/>
      <c r="J239" s="7" t="n"/>
      <c r="K239" s="7" t="n"/>
      <c r="L239" s="7" t="n"/>
      <c r="M239" s="9" t="n"/>
      <c r="N239" s="9">
        <f>IF($E239="","",IF($S239&lt;&gt;"ÖDEMEDE",0,MIN($R239,IF($J239="Oran",IFERROR($C239*$K239/$L239,0),$M239))))</f>
        <v/>
      </c>
      <c r="O239" s="9" t="n"/>
      <c r="P239" s="9">
        <f>IF($E239="","",SUMIFS('AYLIK KESİNTİLER'!$E$2:$E$5000,'AYLIK KESİNTİLER'!$A$2:$A$5000,$A239,'AYLIK KESİNTİLER'!$B$2:$B$5000,$E239))</f>
        <v/>
      </c>
      <c r="Q239" s="9">
        <f>IF($E239="","",$O239+$P239)</f>
        <v/>
      </c>
      <c r="R239" s="9">
        <f>IF($E239="","",$I239-$Q239)</f>
        <v/>
      </c>
      <c r="S239" s="12">
        <f>IF($E239="","",IF($R239&lt;=0,"KAPANDI",IF(COUNTIFS($A$2:$A$300,$A239,$F$2:$F$300,"&lt;"&amp;$F239,$R$2:$R$300,"&gt;0")=0,"ÖDEMEDE","SIRADA")))</f>
        <v/>
      </c>
      <c r="T239" s="7" t="n"/>
      <c r="U239" s="7" t="n"/>
      <c r="V239">
        <f>IF($E239="","",$A239&amp;"|"&amp;$S239)</f>
        <v/>
      </c>
    </row>
    <row r="240">
      <c r="A240" s="7" t="n"/>
      <c r="B240" s="8">
        <f>IF($A240="","",IFERROR(VLOOKUP($A240,PERSONEL!$A$2:$C$300,2,0),""))</f>
        <v/>
      </c>
      <c r="C240" s="9">
        <f>IF($A240="","",IFERROR(VLOOKUP($A240,PERSONEL!$A$2:$C$300,3,0),""))</f>
        <v/>
      </c>
      <c r="D240" s="10" t="n"/>
      <c r="E240" s="7" t="n"/>
      <c r="F240" s="7" t="n"/>
      <c r="G240" s="7" t="n"/>
      <c r="H240" s="7" t="n"/>
      <c r="I240" s="9" t="n"/>
      <c r="J240" s="7" t="n"/>
      <c r="K240" s="7" t="n"/>
      <c r="L240" s="7" t="n"/>
      <c r="M240" s="9" t="n"/>
      <c r="N240" s="9">
        <f>IF($E240="","",IF($S240&lt;&gt;"ÖDEMEDE",0,MIN($R240,IF($J240="Oran",IFERROR($C240*$K240/$L240,0),$M240))))</f>
        <v/>
      </c>
      <c r="O240" s="9" t="n"/>
      <c r="P240" s="9">
        <f>IF($E240="","",SUMIFS('AYLIK KESİNTİLER'!$E$2:$E$5000,'AYLIK KESİNTİLER'!$A$2:$A$5000,$A240,'AYLIK KESİNTİLER'!$B$2:$B$5000,$E240))</f>
        <v/>
      </c>
      <c r="Q240" s="9">
        <f>IF($E240="","",$O240+$P240)</f>
        <v/>
      </c>
      <c r="R240" s="9">
        <f>IF($E240="","",$I240-$Q240)</f>
        <v/>
      </c>
      <c r="S240" s="12">
        <f>IF($E240="","",IF($R240&lt;=0,"KAPANDI",IF(COUNTIFS($A$2:$A$300,$A240,$F$2:$F$300,"&lt;"&amp;$F240,$R$2:$R$300,"&gt;0")=0,"ÖDEMEDE","SIRADA")))</f>
        <v/>
      </c>
      <c r="T240" s="7" t="n"/>
      <c r="U240" s="7" t="n"/>
      <c r="V240">
        <f>IF($E240="","",$A240&amp;"|"&amp;$S240)</f>
        <v/>
      </c>
    </row>
    <row r="241">
      <c r="A241" s="7" t="n"/>
      <c r="B241" s="8">
        <f>IF($A241="","",IFERROR(VLOOKUP($A241,PERSONEL!$A$2:$C$300,2,0),""))</f>
        <v/>
      </c>
      <c r="C241" s="9">
        <f>IF($A241="","",IFERROR(VLOOKUP($A241,PERSONEL!$A$2:$C$300,3,0),""))</f>
        <v/>
      </c>
      <c r="D241" s="10" t="n"/>
      <c r="E241" s="7" t="n"/>
      <c r="F241" s="7" t="n"/>
      <c r="G241" s="7" t="n"/>
      <c r="H241" s="7" t="n"/>
      <c r="I241" s="9" t="n"/>
      <c r="J241" s="7" t="n"/>
      <c r="K241" s="7" t="n"/>
      <c r="L241" s="7" t="n"/>
      <c r="M241" s="9" t="n"/>
      <c r="N241" s="9">
        <f>IF($E241="","",IF($S241&lt;&gt;"ÖDEMEDE",0,MIN($R241,IF($J241="Oran",IFERROR($C241*$K241/$L241,0),$M241))))</f>
        <v/>
      </c>
      <c r="O241" s="9" t="n"/>
      <c r="P241" s="9">
        <f>IF($E241="","",SUMIFS('AYLIK KESİNTİLER'!$E$2:$E$5000,'AYLIK KESİNTİLER'!$A$2:$A$5000,$A241,'AYLIK KESİNTİLER'!$B$2:$B$5000,$E241))</f>
        <v/>
      </c>
      <c r="Q241" s="9">
        <f>IF($E241="","",$O241+$P241)</f>
        <v/>
      </c>
      <c r="R241" s="9">
        <f>IF($E241="","",$I241-$Q241)</f>
        <v/>
      </c>
      <c r="S241" s="12">
        <f>IF($E241="","",IF($R241&lt;=0,"KAPANDI",IF(COUNTIFS($A$2:$A$300,$A241,$F$2:$F$300,"&lt;"&amp;$F241,$R$2:$R$300,"&gt;0")=0,"ÖDEMEDE","SIRADA")))</f>
        <v/>
      </c>
      <c r="T241" s="7" t="n"/>
      <c r="U241" s="7" t="n"/>
      <c r="V241">
        <f>IF($E241="","",$A241&amp;"|"&amp;$S241)</f>
        <v/>
      </c>
    </row>
    <row r="242">
      <c r="A242" s="7" t="n"/>
      <c r="B242" s="8">
        <f>IF($A242="","",IFERROR(VLOOKUP($A242,PERSONEL!$A$2:$C$300,2,0),""))</f>
        <v/>
      </c>
      <c r="C242" s="9">
        <f>IF($A242="","",IFERROR(VLOOKUP($A242,PERSONEL!$A$2:$C$300,3,0),""))</f>
        <v/>
      </c>
      <c r="D242" s="10" t="n"/>
      <c r="E242" s="7" t="n"/>
      <c r="F242" s="7" t="n"/>
      <c r="G242" s="7" t="n"/>
      <c r="H242" s="7" t="n"/>
      <c r="I242" s="9" t="n"/>
      <c r="J242" s="7" t="n"/>
      <c r="K242" s="7" t="n"/>
      <c r="L242" s="7" t="n"/>
      <c r="M242" s="9" t="n"/>
      <c r="N242" s="9">
        <f>IF($E242="","",IF($S242&lt;&gt;"ÖDEMEDE",0,MIN($R242,IF($J242="Oran",IFERROR($C242*$K242/$L242,0),$M242))))</f>
        <v/>
      </c>
      <c r="O242" s="9" t="n"/>
      <c r="P242" s="9">
        <f>IF($E242="","",SUMIFS('AYLIK KESİNTİLER'!$E$2:$E$5000,'AYLIK KESİNTİLER'!$A$2:$A$5000,$A242,'AYLIK KESİNTİLER'!$B$2:$B$5000,$E242))</f>
        <v/>
      </c>
      <c r="Q242" s="9">
        <f>IF($E242="","",$O242+$P242)</f>
        <v/>
      </c>
      <c r="R242" s="9">
        <f>IF($E242="","",$I242-$Q242)</f>
        <v/>
      </c>
      <c r="S242" s="12">
        <f>IF($E242="","",IF($R242&lt;=0,"KAPANDI",IF(COUNTIFS($A$2:$A$300,$A242,$F$2:$F$300,"&lt;"&amp;$F242,$R$2:$R$300,"&gt;0")=0,"ÖDEMEDE","SIRADA")))</f>
        <v/>
      </c>
      <c r="T242" s="7" t="n"/>
      <c r="U242" s="7" t="n"/>
      <c r="V242">
        <f>IF($E242="","",$A242&amp;"|"&amp;$S242)</f>
        <v/>
      </c>
    </row>
    <row r="243">
      <c r="A243" s="7" t="n"/>
      <c r="B243" s="8">
        <f>IF($A243="","",IFERROR(VLOOKUP($A243,PERSONEL!$A$2:$C$300,2,0),""))</f>
        <v/>
      </c>
      <c r="C243" s="9">
        <f>IF($A243="","",IFERROR(VLOOKUP($A243,PERSONEL!$A$2:$C$300,3,0),""))</f>
        <v/>
      </c>
      <c r="D243" s="10" t="n"/>
      <c r="E243" s="7" t="n"/>
      <c r="F243" s="7" t="n"/>
      <c r="G243" s="7" t="n"/>
      <c r="H243" s="7" t="n"/>
      <c r="I243" s="9" t="n"/>
      <c r="J243" s="7" t="n"/>
      <c r="K243" s="7" t="n"/>
      <c r="L243" s="7" t="n"/>
      <c r="M243" s="9" t="n"/>
      <c r="N243" s="9">
        <f>IF($E243="","",IF($S243&lt;&gt;"ÖDEMEDE",0,MIN($R243,IF($J243="Oran",IFERROR($C243*$K243/$L243,0),$M243))))</f>
        <v/>
      </c>
      <c r="O243" s="9" t="n"/>
      <c r="P243" s="9">
        <f>IF($E243="","",SUMIFS('AYLIK KESİNTİLER'!$E$2:$E$5000,'AYLIK KESİNTİLER'!$A$2:$A$5000,$A243,'AYLIK KESİNTİLER'!$B$2:$B$5000,$E243))</f>
        <v/>
      </c>
      <c r="Q243" s="9">
        <f>IF($E243="","",$O243+$P243)</f>
        <v/>
      </c>
      <c r="R243" s="9">
        <f>IF($E243="","",$I243-$Q243)</f>
        <v/>
      </c>
      <c r="S243" s="12">
        <f>IF($E243="","",IF($R243&lt;=0,"KAPANDI",IF(COUNTIFS($A$2:$A$300,$A243,$F$2:$F$300,"&lt;"&amp;$F243,$R$2:$R$300,"&gt;0")=0,"ÖDEMEDE","SIRADA")))</f>
        <v/>
      </c>
      <c r="T243" s="7" t="n"/>
      <c r="U243" s="7" t="n"/>
      <c r="V243">
        <f>IF($E243="","",$A243&amp;"|"&amp;$S243)</f>
        <v/>
      </c>
    </row>
    <row r="244">
      <c r="A244" s="7" t="n"/>
      <c r="B244" s="8">
        <f>IF($A244="","",IFERROR(VLOOKUP($A244,PERSONEL!$A$2:$C$300,2,0),""))</f>
        <v/>
      </c>
      <c r="C244" s="9">
        <f>IF($A244="","",IFERROR(VLOOKUP($A244,PERSONEL!$A$2:$C$300,3,0),""))</f>
        <v/>
      </c>
      <c r="D244" s="10" t="n"/>
      <c r="E244" s="7" t="n"/>
      <c r="F244" s="7" t="n"/>
      <c r="G244" s="7" t="n"/>
      <c r="H244" s="7" t="n"/>
      <c r="I244" s="9" t="n"/>
      <c r="J244" s="7" t="n"/>
      <c r="K244" s="7" t="n"/>
      <c r="L244" s="7" t="n"/>
      <c r="M244" s="9" t="n"/>
      <c r="N244" s="9">
        <f>IF($E244="","",IF($S244&lt;&gt;"ÖDEMEDE",0,MIN($R244,IF($J244="Oran",IFERROR($C244*$K244/$L244,0),$M244))))</f>
        <v/>
      </c>
      <c r="O244" s="9" t="n"/>
      <c r="P244" s="9">
        <f>IF($E244="","",SUMIFS('AYLIK KESİNTİLER'!$E$2:$E$5000,'AYLIK KESİNTİLER'!$A$2:$A$5000,$A244,'AYLIK KESİNTİLER'!$B$2:$B$5000,$E244))</f>
        <v/>
      </c>
      <c r="Q244" s="9">
        <f>IF($E244="","",$O244+$P244)</f>
        <v/>
      </c>
      <c r="R244" s="9">
        <f>IF($E244="","",$I244-$Q244)</f>
        <v/>
      </c>
      <c r="S244" s="12">
        <f>IF($E244="","",IF($R244&lt;=0,"KAPANDI",IF(COUNTIFS($A$2:$A$300,$A244,$F$2:$F$300,"&lt;"&amp;$F244,$R$2:$R$300,"&gt;0")=0,"ÖDEMEDE","SIRADA")))</f>
        <v/>
      </c>
      <c r="T244" s="7" t="n"/>
      <c r="U244" s="7" t="n"/>
      <c r="V244">
        <f>IF($E244="","",$A244&amp;"|"&amp;$S244)</f>
        <v/>
      </c>
    </row>
    <row r="245">
      <c r="A245" s="7" t="n"/>
      <c r="B245" s="8">
        <f>IF($A245="","",IFERROR(VLOOKUP($A245,PERSONEL!$A$2:$C$300,2,0),""))</f>
        <v/>
      </c>
      <c r="C245" s="9">
        <f>IF($A245="","",IFERROR(VLOOKUP($A245,PERSONEL!$A$2:$C$300,3,0),""))</f>
        <v/>
      </c>
      <c r="D245" s="10" t="n"/>
      <c r="E245" s="7" t="n"/>
      <c r="F245" s="7" t="n"/>
      <c r="G245" s="7" t="n"/>
      <c r="H245" s="7" t="n"/>
      <c r="I245" s="9" t="n"/>
      <c r="J245" s="7" t="n"/>
      <c r="K245" s="7" t="n"/>
      <c r="L245" s="7" t="n"/>
      <c r="M245" s="9" t="n"/>
      <c r="N245" s="9">
        <f>IF($E245="","",IF($S245&lt;&gt;"ÖDEMEDE",0,MIN($R245,IF($J245="Oran",IFERROR($C245*$K245/$L245,0),$M245))))</f>
        <v/>
      </c>
      <c r="O245" s="9" t="n"/>
      <c r="P245" s="9">
        <f>IF($E245="","",SUMIFS('AYLIK KESİNTİLER'!$E$2:$E$5000,'AYLIK KESİNTİLER'!$A$2:$A$5000,$A245,'AYLIK KESİNTİLER'!$B$2:$B$5000,$E245))</f>
        <v/>
      </c>
      <c r="Q245" s="9">
        <f>IF($E245="","",$O245+$P245)</f>
        <v/>
      </c>
      <c r="R245" s="9">
        <f>IF($E245="","",$I245-$Q245)</f>
        <v/>
      </c>
      <c r="S245" s="12">
        <f>IF($E245="","",IF($R245&lt;=0,"KAPANDI",IF(COUNTIFS($A$2:$A$300,$A245,$F$2:$F$300,"&lt;"&amp;$F245,$R$2:$R$300,"&gt;0")=0,"ÖDEMEDE","SIRADA")))</f>
        <v/>
      </c>
      <c r="T245" s="7" t="n"/>
      <c r="U245" s="7" t="n"/>
      <c r="V245">
        <f>IF($E245="","",$A245&amp;"|"&amp;$S245)</f>
        <v/>
      </c>
    </row>
    <row r="246">
      <c r="A246" s="7" t="n"/>
      <c r="B246" s="8">
        <f>IF($A246="","",IFERROR(VLOOKUP($A246,PERSONEL!$A$2:$C$300,2,0),""))</f>
        <v/>
      </c>
      <c r="C246" s="9">
        <f>IF($A246="","",IFERROR(VLOOKUP($A246,PERSONEL!$A$2:$C$300,3,0),""))</f>
        <v/>
      </c>
      <c r="D246" s="10" t="n"/>
      <c r="E246" s="7" t="n"/>
      <c r="F246" s="7" t="n"/>
      <c r="G246" s="7" t="n"/>
      <c r="H246" s="7" t="n"/>
      <c r="I246" s="9" t="n"/>
      <c r="J246" s="7" t="n"/>
      <c r="K246" s="7" t="n"/>
      <c r="L246" s="7" t="n"/>
      <c r="M246" s="9" t="n"/>
      <c r="N246" s="9">
        <f>IF($E246="","",IF($S246&lt;&gt;"ÖDEMEDE",0,MIN($R246,IF($J246="Oran",IFERROR($C246*$K246/$L246,0),$M246))))</f>
        <v/>
      </c>
      <c r="O246" s="9" t="n"/>
      <c r="P246" s="9">
        <f>IF($E246="","",SUMIFS('AYLIK KESİNTİLER'!$E$2:$E$5000,'AYLIK KESİNTİLER'!$A$2:$A$5000,$A246,'AYLIK KESİNTİLER'!$B$2:$B$5000,$E246))</f>
        <v/>
      </c>
      <c r="Q246" s="9">
        <f>IF($E246="","",$O246+$P246)</f>
        <v/>
      </c>
      <c r="R246" s="9">
        <f>IF($E246="","",$I246-$Q246)</f>
        <v/>
      </c>
      <c r="S246" s="12">
        <f>IF($E246="","",IF($R246&lt;=0,"KAPANDI",IF(COUNTIFS($A$2:$A$300,$A246,$F$2:$F$300,"&lt;"&amp;$F246,$R$2:$R$300,"&gt;0")=0,"ÖDEMEDE","SIRADA")))</f>
        <v/>
      </c>
      <c r="T246" s="7" t="n"/>
      <c r="U246" s="7" t="n"/>
      <c r="V246">
        <f>IF($E246="","",$A246&amp;"|"&amp;$S246)</f>
        <v/>
      </c>
    </row>
    <row r="247">
      <c r="A247" s="7" t="n"/>
      <c r="B247" s="8">
        <f>IF($A247="","",IFERROR(VLOOKUP($A247,PERSONEL!$A$2:$C$300,2,0),""))</f>
        <v/>
      </c>
      <c r="C247" s="9">
        <f>IF($A247="","",IFERROR(VLOOKUP($A247,PERSONEL!$A$2:$C$300,3,0),""))</f>
        <v/>
      </c>
      <c r="D247" s="10" t="n"/>
      <c r="E247" s="7" t="n"/>
      <c r="F247" s="7" t="n"/>
      <c r="G247" s="7" t="n"/>
      <c r="H247" s="7" t="n"/>
      <c r="I247" s="9" t="n"/>
      <c r="J247" s="7" t="n"/>
      <c r="K247" s="7" t="n"/>
      <c r="L247" s="7" t="n"/>
      <c r="M247" s="9" t="n"/>
      <c r="N247" s="9">
        <f>IF($E247="","",IF($S247&lt;&gt;"ÖDEMEDE",0,MIN($R247,IF($J247="Oran",IFERROR($C247*$K247/$L247,0),$M247))))</f>
        <v/>
      </c>
      <c r="O247" s="9" t="n"/>
      <c r="P247" s="9">
        <f>IF($E247="","",SUMIFS('AYLIK KESİNTİLER'!$E$2:$E$5000,'AYLIK KESİNTİLER'!$A$2:$A$5000,$A247,'AYLIK KESİNTİLER'!$B$2:$B$5000,$E247))</f>
        <v/>
      </c>
      <c r="Q247" s="9">
        <f>IF($E247="","",$O247+$P247)</f>
        <v/>
      </c>
      <c r="R247" s="9">
        <f>IF($E247="","",$I247-$Q247)</f>
        <v/>
      </c>
      <c r="S247" s="12">
        <f>IF($E247="","",IF($R247&lt;=0,"KAPANDI",IF(COUNTIFS($A$2:$A$300,$A247,$F$2:$F$300,"&lt;"&amp;$F247,$R$2:$R$300,"&gt;0")=0,"ÖDEMEDE","SIRADA")))</f>
        <v/>
      </c>
      <c r="T247" s="7" t="n"/>
      <c r="U247" s="7" t="n"/>
      <c r="V247">
        <f>IF($E247="","",$A247&amp;"|"&amp;$S247)</f>
        <v/>
      </c>
    </row>
    <row r="248">
      <c r="A248" s="7" t="n"/>
      <c r="B248" s="8">
        <f>IF($A248="","",IFERROR(VLOOKUP($A248,PERSONEL!$A$2:$C$300,2,0),""))</f>
        <v/>
      </c>
      <c r="C248" s="9">
        <f>IF($A248="","",IFERROR(VLOOKUP($A248,PERSONEL!$A$2:$C$300,3,0),""))</f>
        <v/>
      </c>
      <c r="D248" s="10" t="n"/>
      <c r="E248" s="7" t="n"/>
      <c r="F248" s="7" t="n"/>
      <c r="G248" s="7" t="n"/>
      <c r="H248" s="7" t="n"/>
      <c r="I248" s="9" t="n"/>
      <c r="J248" s="7" t="n"/>
      <c r="K248" s="7" t="n"/>
      <c r="L248" s="7" t="n"/>
      <c r="M248" s="9" t="n"/>
      <c r="N248" s="9">
        <f>IF($E248="","",IF($S248&lt;&gt;"ÖDEMEDE",0,MIN($R248,IF($J248="Oran",IFERROR($C248*$K248/$L248,0),$M248))))</f>
        <v/>
      </c>
      <c r="O248" s="9" t="n"/>
      <c r="P248" s="9">
        <f>IF($E248="","",SUMIFS('AYLIK KESİNTİLER'!$E$2:$E$5000,'AYLIK KESİNTİLER'!$A$2:$A$5000,$A248,'AYLIK KESİNTİLER'!$B$2:$B$5000,$E248))</f>
        <v/>
      </c>
      <c r="Q248" s="9">
        <f>IF($E248="","",$O248+$P248)</f>
        <v/>
      </c>
      <c r="R248" s="9">
        <f>IF($E248="","",$I248-$Q248)</f>
        <v/>
      </c>
      <c r="S248" s="12">
        <f>IF($E248="","",IF($R248&lt;=0,"KAPANDI",IF(COUNTIFS($A$2:$A$300,$A248,$F$2:$F$300,"&lt;"&amp;$F248,$R$2:$R$300,"&gt;0")=0,"ÖDEMEDE","SIRADA")))</f>
        <v/>
      </c>
      <c r="T248" s="7" t="n"/>
      <c r="U248" s="7" t="n"/>
      <c r="V248">
        <f>IF($E248="","",$A248&amp;"|"&amp;$S248)</f>
        <v/>
      </c>
    </row>
    <row r="249">
      <c r="A249" s="7" t="n"/>
      <c r="B249" s="8">
        <f>IF($A249="","",IFERROR(VLOOKUP($A249,PERSONEL!$A$2:$C$300,2,0),""))</f>
        <v/>
      </c>
      <c r="C249" s="9">
        <f>IF($A249="","",IFERROR(VLOOKUP($A249,PERSONEL!$A$2:$C$300,3,0),""))</f>
        <v/>
      </c>
      <c r="D249" s="10" t="n"/>
      <c r="E249" s="7" t="n"/>
      <c r="F249" s="7" t="n"/>
      <c r="G249" s="7" t="n"/>
      <c r="H249" s="7" t="n"/>
      <c r="I249" s="9" t="n"/>
      <c r="J249" s="7" t="n"/>
      <c r="K249" s="7" t="n"/>
      <c r="L249" s="7" t="n"/>
      <c r="M249" s="9" t="n"/>
      <c r="N249" s="9">
        <f>IF($E249="","",IF($S249&lt;&gt;"ÖDEMEDE",0,MIN($R249,IF($J249="Oran",IFERROR($C249*$K249/$L249,0),$M249))))</f>
        <v/>
      </c>
      <c r="O249" s="9" t="n"/>
      <c r="P249" s="9">
        <f>IF($E249="","",SUMIFS('AYLIK KESİNTİLER'!$E$2:$E$5000,'AYLIK KESİNTİLER'!$A$2:$A$5000,$A249,'AYLIK KESİNTİLER'!$B$2:$B$5000,$E249))</f>
        <v/>
      </c>
      <c r="Q249" s="9">
        <f>IF($E249="","",$O249+$P249)</f>
        <v/>
      </c>
      <c r="R249" s="9">
        <f>IF($E249="","",$I249-$Q249)</f>
        <v/>
      </c>
      <c r="S249" s="12">
        <f>IF($E249="","",IF($R249&lt;=0,"KAPANDI",IF(COUNTIFS($A$2:$A$300,$A249,$F$2:$F$300,"&lt;"&amp;$F249,$R$2:$R$300,"&gt;0")=0,"ÖDEMEDE","SIRADA")))</f>
        <v/>
      </c>
      <c r="T249" s="7" t="n"/>
      <c r="U249" s="7" t="n"/>
      <c r="V249">
        <f>IF($E249="","",$A249&amp;"|"&amp;$S249)</f>
        <v/>
      </c>
    </row>
    <row r="250">
      <c r="A250" s="7" t="n"/>
      <c r="B250" s="8">
        <f>IF($A250="","",IFERROR(VLOOKUP($A250,PERSONEL!$A$2:$C$300,2,0),""))</f>
        <v/>
      </c>
      <c r="C250" s="9">
        <f>IF($A250="","",IFERROR(VLOOKUP($A250,PERSONEL!$A$2:$C$300,3,0),""))</f>
        <v/>
      </c>
      <c r="D250" s="10" t="n"/>
      <c r="E250" s="7" t="n"/>
      <c r="F250" s="7" t="n"/>
      <c r="G250" s="7" t="n"/>
      <c r="H250" s="7" t="n"/>
      <c r="I250" s="9" t="n"/>
      <c r="J250" s="7" t="n"/>
      <c r="K250" s="7" t="n"/>
      <c r="L250" s="7" t="n"/>
      <c r="M250" s="9" t="n"/>
      <c r="N250" s="9">
        <f>IF($E250="","",IF($S250&lt;&gt;"ÖDEMEDE",0,MIN($R250,IF($J250="Oran",IFERROR($C250*$K250/$L250,0),$M250))))</f>
        <v/>
      </c>
      <c r="O250" s="9" t="n"/>
      <c r="P250" s="9">
        <f>IF($E250="","",SUMIFS('AYLIK KESİNTİLER'!$E$2:$E$5000,'AYLIK KESİNTİLER'!$A$2:$A$5000,$A250,'AYLIK KESİNTİLER'!$B$2:$B$5000,$E250))</f>
        <v/>
      </c>
      <c r="Q250" s="9">
        <f>IF($E250="","",$O250+$P250)</f>
        <v/>
      </c>
      <c r="R250" s="9">
        <f>IF($E250="","",$I250-$Q250)</f>
        <v/>
      </c>
      <c r="S250" s="12">
        <f>IF($E250="","",IF($R250&lt;=0,"KAPANDI",IF(COUNTIFS($A$2:$A$300,$A250,$F$2:$F$300,"&lt;"&amp;$F250,$R$2:$R$300,"&gt;0")=0,"ÖDEMEDE","SIRADA")))</f>
        <v/>
      </c>
      <c r="T250" s="7" t="n"/>
      <c r="U250" s="7" t="n"/>
      <c r="V250">
        <f>IF($E250="","",$A250&amp;"|"&amp;$S250)</f>
        <v/>
      </c>
    </row>
    <row r="251">
      <c r="A251" s="7" t="n"/>
      <c r="B251" s="8">
        <f>IF($A251="","",IFERROR(VLOOKUP($A251,PERSONEL!$A$2:$C$300,2,0),""))</f>
        <v/>
      </c>
      <c r="C251" s="9">
        <f>IF($A251="","",IFERROR(VLOOKUP($A251,PERSONEL!$A$2:$C$300,3,0),""))</f>
        <v/>
      </c>
      <c r="D251" s="10" t="n"/>
      <c r="E251" s="7" t="n"/>
      <c r="F251" s="7" t="n"/>
      <c r="G251" s="7" t="n"/>
      <c r="H251" s="7" t="n"/>
      <c r="I251" s="9" t="n"/>
      <c r="J251" s="7" t="n"/>
      <c r="K251" s="7" t="n"/>
      <c r="L251" s="7" t="n"/>
      <c r="M251" s="9" t="n"/>
      <c r="N251" s="9">
        <f>IF($E251="","",IF($S251&lt;&gt;"ÖDEMEDE",0,MIN($R251,IF($J251="Oran",IFERROR($C251*$K251/$L251,0),$M251))))</f>
        <v/>
      </c>
      <c r="O251" s="9" t="n"/>
      <c r="P251" s="9">
        <f>IF($E251="","",SUMIFS('AYLIK KESİNTİLER'!$E$2:$E$5000,'AYLIK KESİNTİLER'!$A$2:$A$5000,$A251,'AYLIK KESİNTİLER'!$B$2:$B$5000,$E251))</f>
        <v/>
      </c>
      <c r="Q251" s="9">
        <f>IF($E251="","",$O251+$P251)</f>
        <v/>
      </c>
      <c r="R251" s="9">
        <f>IF($E251="","",$I251-$Q251)</f>
        <v/>
      </c>
      <c r="S251" s="12">
        <f>IF($E251="","",IF($R251&lt;=0,"KAPANDI",IF(COUNTIFS($A$2:$A$300,$A251,$F$2:$F$300,"&lt;"&amp;$F251,$R$2:$R$300,"&gt;0")=0,"ÖDEMEDE","SIRADA")))</f>
        <v/>
      </c>
      <c r="T251" s="7" t="n"/>
      <c r="U251" s="7" t="n"/>
      <c r="V251">
        <f>IF($E251="","",$A251&amp;"|"&amp;$S251)</f>
        <v/>
      </c>
    </row>
    <row r="252">
      <c r="A252" s="7" t="n"/>
      <c r="B252" s="8">
        <f>IF($A252="","",IFERROR(VLOOKUP($A252,PERSONEL!$A$2:$C$300,2,0),""))</f>
        <v/>
      </c>
      <c r="C252" s="9">
        <f>IF($A252="","",IFERROR(VLOOKUP($A252,PERSONEL!$A$2:$C$300,3,0),""))</f>
        <v/>
      </c>
      <c r="D252" s="10" t="n"/>
      <c r="E252" s="7" t="n"/>
      <c r="F252" s="7" t="n"/>
      <c r="G252" s="7" t="n"/>
      <c r="H252" s="7" t="n"/>
      <c r="I252" s="9" t="n"/>
      <c r="J252" s="7" t="n"/>
      <c r="K252" s="7" t="n"/>
      <c r="L252" s="7" t="n"/>
      <c r="M252" s="9" t="n"/>
      <c r="N252" s="9">
        <f>IF($E252="","",IF($S252&lt;&gt;"ÖDEMEDE",0,MIN($R252,IF($J252="Oran",IFERROR($C252*$K252/$L252,0),$M252))))</f>
        <v/>
      </c>
      <c r="O252" s="9" t="n"/>
      <c r="P252" s="9">
        <f>IF($E252="","",SUMIFS('AYLIK KESİNTİLER'!$E$2:$E$5000,'AYLIK KESİNTİLER'!$A$2:$A$5000,$A252,'AYLIK KESİNTİLER'!$B$2:$B$5000,$E252))</f>
        <v/>
      </c>
      <c r="Q252" s="9">
        <f>IF($E252="","",$O252+$P252)</f>
        <v/>
      </c>
      <c r="R252" s="9">
        <f>IF($E252="","",$I252-$Q252)</f>
        <v/>
      </c>
      <c r="S252" s="12">
        <f>IF($E252="","",IF($R252&lt;=0,"KAPANDI",IF(COUNTIFS($A$2:$A$300,$A252,$F$2:$F$300,"&lt;"&amp;$F252,$R$2:$R$300,"&gt;0")=0,"ÖDEMEDE","SIRADA")))</f>
        <v/>
      </c>
      <c r="T252" s="7" t="n"/>
      <c r="U252" s="7" t="n"/>
      <c r="V252">
        <f>IF($E252="","",$A252&amp;"|"&amp;$S252)</f>
        <v/>
      </c>
    </row>
    <row r="253">
      <c r="A253" s="7" t="n"/>
      <c r="B253" s="8">
        <f>IF($A253="","",IFERROR(VLOOKUP($A253,PERSONEL!$A$2:$C$300,2,0),""))</f>
        <v/>
      </c>
      <c r="C253" s="9">
        <f>IF($A253="","",IFERROR(VLOOKUP($A253,PERSONEL!$A$2:$C$300,3,0),""))</f>
        <v/>
      </c>
      <c r="D253" s="10" t="n"/>
      <c r="E253" s="7" t="n"/>
      <c r="F253" s="7" t="n"/>
      <c r="G253" s="7" t="n"/>
      <c r="H253" s="7" t="n"/>
      <c r="I253" s="9" t="n"/>
      <c r="J253" s="7" t="n"/>
      <c r="K253" s="7" t="n"/>
      <c r="L253" s="7" t="n"/>
      <c r="M253" s="9" t="n"/>
      <c r="N253" s="9">
        <f>IF($E253="","",IF($S253&lt;&gt;"ÖDEMEDE",0,MIN($R253,IF($J253="Oran",IFERROR($C253*$K253/$L253,0),$M253))))</f>
        <v/>
      </c>
      <c r="O253" s="9" t="n"/>
      <c r="P253" s="9">
        <f>IF($E253="","",SUMIFS('AYLIK KESİNTİLER'!$E$2:$E$5000,'AYLIK KESİNTİLER'!$A$2:$A$5000,$A253,'AYLIK KESİNTİLER'!$B$2:$B$5000,$E253))</f>
        <v/>
      </c>
      <c r="Q253" s="9">
        <f>IF($E253="","",$O253+$P253)</f>
        <v/>
      </c>
      <c r="R253" s="9">
        <f>IF($E253="","",$I253-$Q253)</f>
        <v/>
      </c>
      <c r="S253" s="12">
        <f>IF($E253="","",IF($R253&lt;=0,"KAPANDI",IF(COUNTIFS($A$2:$A$300,$A253,$F$2:$F$300,"&lt;"&amp;$F253,$R$2:$R$300,"&gt;0")=0,"ÖDEMEDE","SIRADA")))</f>
        <v/>
      </c>
      <c r="T253" s="7" t="n"/>
      <c r="U253" s="7" t="n"/>
      <c r="V253">
        <f>IF($E253="","",$A253&amp;"|"&amp;$S253)</f>
        <v/>
      </c>
    </row>
    <row r="254">
      <c r="A254" s="7" t="n"/>
      <c r="B254" s="8">
        <f>IF($A254="","",IFERROR(VLOOKUP($A254,PERSONEL!$A$2:$C$300,2,0),""))</f>
        <v/>
      </c>
      <c r="C254" s="9">
        <f>IF($A254="","",IFERROR(VLOOKUP($A254,PERSONEL!$A$2:$C$300,3,0),""))</f>
        <v/>
      </c>
      <c r="D254" s="10" t="n"/>
      <c r="E254" s="7" t="n"/>
      <c r="F254" s="7" t="n"/>
      <c r="G254" s="7" t="n"/>
      <c r="H254" s="7" t="n"/>
      <c r="I254" s="9" t="n"/>
      <c r="J254" s="7" t="n"/>
      <c r="K254" s="7" t="n"/>
      <c r="L254" s="7" t="n"/>
      <c r="M254" s="9" t="n"/>
      <c r="N254" s="9">
        <f>IF($E254="","",IF($S254&lt;&gt;"ÖDEMEDE",0,MIN($R254,IF($J254="Oran",IFERROR($C254*$K254/$L254,0),$M254))))</f>
        <v/>
      </c>
      <c r="O254" s="9" t="n"/>
      <c r="P254" s="9">
        <f>IF($E254="","",SUMIFS('AYLIK KESİNTİLER'!$E$2:$E$5000,'AYLIK KESİNTİLER'!$A$2:$A$5000,$A254,'AYLIK KESİNTİLER'!$B$2:$B$5000,$E254))</f>
        <v/>
      </c>
      <c r="Q254" s="9">
        <f>IF($E254="","",$O254+$P254)</f>
        <v/>
      </c>
      <c r="R254" s="9">
        <f>IF($E254="","",$I254-$Q254)</f>
        <v/>
      </c>
      <c r="S254" s="12">
        <f>IF($E254="","",IF($R254&lt;=0,"KAPANDI",IF(COUNTIFS($A$2:$A$300,$A254,$F$2:$F$300,"&lt;"&amp;$F254,$R$2:$R$300,"&gt;0")=0,"ÖDEMEDE","SIRADA")))</f>
        <v/>
      </c>
      <c r="T254" s="7" t="n"/>
      <c r="U254" s="7" t="n"/>
      <c r="V254">
        <f>IF($E254="","",$A254&amp;"|"&amp;$S254)</f>
        <v/>
      </c>
    </row>
    <row r="255">
      <c r="A255" s="7" t="n"/>
      <c r="B255" s="8">
        <f>IF($A255="","",IFERROR(VLOOKUP($A255,PERSONEL!$A$2:$C$300,2,0),""))</f>
        <v/>
      </c>
      <c r="C255" s="9">
        <f>IF($A255="","",IFERROR(VLOOKUP($A255,PERSONEL!$A$2:$C$300,3,0),""))</f>
        <v/>
      </c>
      <c r="D255" s="10" t="n"/>
      <c r="E255" s="7" t="n"/>
      <c r="F255" s="7" t="n"/>
      <c r="G255" s="7" t="n"/>
      <c r="H255" s="7" t="n"/>
      <c r="I255" s="9" t="n"/>
      <c r="J255" s="7" t="n"/>
      <c r="K255" s="7" t="n"/>
      <c r="L255" s="7" t="n"/>
      <c r="M255" s="9" t="n"/>
      <c r="N255" s="9">
        <f>IF($E255="","",IF($S255&lt;&gt;"ÖDEMEDE",0,MIN($R255,IF($J255="Oran",IFERROR($C255*$K255/$L255,0),$M255))))</f>
        <v/>
      </c>
      <c r="O255" s="9" t="n"/>
      <c r="P255" s="9">
        <f>IF($E255="","",SUMIFS('AYLIK KESİNTİLER'!$E$2:$E$5000,'AYLIK KESİNTİLER'!$A$2:$A$5000,$A255,'AYLIK KESİNTİLER'!$B$2:$B$5000,$E255))</f>
        <v/>
      </c>
      <c r="Q255" s="9">
        <f>IF($E255="","",$O255+$P255)</f>
        <v/>
      </c>
      <c r="R255" s="9">
        <f>IF($E255="","",$I255-$Q255)</f>
        <v/>
      </c>
      <c r="S255" s="12">
        <f>IF($E255="","",IF($R255&lt;=0,"KAPANDI",IF(COUNTIFS($A$2:$A$300,$A255,$F$2:$F$300,"&lt;"&amp;$F255,$R$2:$R$300,"&gt;0")=0,"ÖDEMEDE","SIRADA")))</f>
        <v/>
      </c>
      <c r="T255" s="7" t="n"/>
      <c r="U255" s="7" t="n"/>
      <c r="V255">
        <f>IF($E255="","",$A255&amp;"|"&amp;$S255)</f>
        <v/>
      </c>
    </row>
    <row r="256">
      <c r="A256" s="7" t="n"/>
      <c r="B256" s="8">
        <f>IF($A256="","",IFERROR(VLOOKUP($A256,PERSONEL!$A$2:$C$300,2,0),""))</f>
        <v/>
      </c>
      <c r="C256" s="9">
        <f>IF($A256="","",IFERROR(VLOOKUP($A256,PERSONEL!$A$2:$C$300,3,0),""))</f>
        <v/>
      </c>
      <c r="D256" s="10" t="n"/>
      <c r="E256" s="7" t="n"/>
      <c r="F256" s="7" t="n"/>
      <c r="G256" s="7" t="n"/>
      <c r="H256" s="7" t="n"/>
      <c r="I256" s="9" t="n"/>
      <c r="J256" s="7" t="n"/>
      <c r="K256" s="7" t="n"/>
      <c r="L256" s="7" t="n"/>
      <c r="M256" s="9" t="n"/>
      <c r="N256" s="9">
        <f>IF($E256="","",IF($S256&lt;&gt;"ÖDEMEDE",0,MIN($R256,IF($J256="Oran",IFERROR($C256*$K256/$L256,0),$M256))))</f>
        <v/>
      </c>
      <c r="O256" s="9" t="n"/>
      <c r="P256" s="9">
        <f>IF($E256="","",SUMIFS('AYLIK KESİNTİLER'!$E$2:$E$5000,'AYLIK KESİNTİLER'!$A$2:$A$5000,$A256,'AYLIK KESİNTİLER'!$B$2:$B$5000,$E256))</f>
        <v/>
      </c>
      <c r="Q256" s="9">
        <f>IF($E256="","",$O256+$P256)</f>
        <v/>
      </c>
      <c r="R256" s="9">
        <f>IF($E256="","",$I256-$Q256)</f>
        <v/>
      </c>
      <c r="S256" s="12">
        <f>IF($E256="","",IF($R256&lt;=0,"KAPANDI",IF(COUNTIFS($A$2:$A$300,$A256,$F$2:$F$300,"&lt;"&amp;$F256,$R$2:$R$300,"&gt;0")=0,"ÖDEMEDE","SIRADA")))</f>
        <v/>
      </c>
      <c r="T256" s="7" t="n"/>
      <c r="U256" s="7" t="n"/>
      <c r="V256">
        <f>IF($E256="","",$A256&amp;"|"&amp;$S256)</f>
        <v/>
      </c>
    </row>
    <row r="257">
      <c r="A257" s="7" t="n"/>
      <c r="B257" s="8">
        <f>IF($A257="","",IFERROR(VLOOKUP($A257,PERSONEL!$A$2:$C$300,2,0),""))</f>
        <v/>
      </c>
      <c r="C257" s="9">
        <f>IF($A257="","",IFERROR(VLOOKUP($A257,PERSONEL!$A$2:$C$300,3,0),""))</f>
        <v/>
      </c>
      <c r="D257" s="10" t="n"/>
      <c r="E257" s="7" t="n"/>
      <c r="F257" s="7" t="n"/>
      <c r="G257" s="7" t="n"/>
      <c r="H257" s="7" t="n"/>
      <c r="I257" s="9" t="n"/>
      <c r="J257" s="7" t="n"/>
      <c r="K257" s="7" t="n"/>
      <c r="L257" s="7" t="n"/>
      <c r="M257" s="9" t="n"/>
      <c r="N257" s="9">
        <f>IF($E257="","",IF($S257&lt;&gt;"ÖDEMEDE",0,MIN($R257,IF($J257="Oran",IFERROR($C257*$K257/$L257,0),$M257))))</f>
        <v/>
      </c>
      <c r="O257" s="9" t="n"/>
      <c r="P257" s="9">
        <f>IF($E257="","",SUMIFS('AYLIK KESİNTİLER'!$E$2:$E$5000,'AYLIK KESİNTİLER'!$A$2:$A$5000,$A257,'AYLIK KESİNTİLER'!$B$2:$B$5000,$E257))</f>
        <v/>
      </c>
      <c r="Q257" s="9">
        <f>IF($E257="","",$O257+$P257)</f>
        <v/>
      </c>
      <c r="R257" s="9">
        <f>IF($E257="","",$I257-$Q257)</f>
        <v/>
      </c>
      <c r="S257" s="12">
        <f>IF($E257="","",IF($R257&lt;=0,"KAPANDI",IF(COUNTIFS($A$2:$A$300,$A257,$F$2:$F$300,"&lt;"&amp;$F257,$R$2:$R$300,"&gt;0")=0,"ÖDEMEDE","SIRADA")))</f>
        <v/>
      </c>
      <c r="T257" s="7" t="n"/>
      <c r="U257" s="7" t="n"/>
      <c r="V257">
        <f>IF($E257="","",$A257&amp;"|"&amp;$S257)</f>
        <v/>
      </c>
    </row>
    <row r="258">
      <c r="A258" s="7" t="n"/>
      <c r="B258" s="8">
        <f>IF($A258="","",IFERROR(VLOOKUP($A258,PERSONEL!$A$2:$C$300,2,0),""))</f>
        <v/>
      </c>
      <c r="C258" s="9">
        <f>IF($A258="","",IFERROR(VLOOKUP($A258,PERSONEL!$A$2:$C$300,3,0),""))</f>
        <v/>
      </c>
      <c r="D258" s="10" t="n"/>
      <c r="E258" s="7" t="n"/>
      <c r="F258" s="7" t="n"/>
      <c r="G258" s="7" t="n"/>
      <c r="H258" s="7" t="n"/>
      <c r="I258" s="9" t="n"/>
      <c r="J258" s="7" t="n"/>
      <c r="K258" s="7" t="n"/>
      <c r="L258" s="7" t="n"/>
      <c r="M258" s="9" t="n"/>
      <c r="N258" s="9">
        <f>IF($E258="","",IF($S258&lt;&gt;"ÖDEMEDE",0,MIN($R258,IF($J258="Oran",IFERROR($C258*$K258/$L258,0),$M258))))</f>
        <v/>
      </c>
      <c r="O258" s="9" t="n"/>
      <c r="P258" s="9">
        <f>IF($E258="","",SUMIFS('AYLIK KESİNTİLER'!$E$2:$E$5000,'AYLIK KESİNTİLER'!$A$2:$A$5000,$A258,'AYLIK KESİNTİLER'!$B$2:$B$5000,$E258))</f>
        <v/>
      </c>
      <c r="Q258" s="9">
        <f>IF($E258="","",$O258+$P258)</f>
        <v/>
      </c>
      <c r="R258" s="9">
        <f>IF($E258="","",$I258-$Q258)</f>
        <v/>
      </c>
      <c r="S258" s="12">
        <f>IF($E258="","",IF($R258&lt;=0,"KAPANDI",IF(COUNTIFS($A$2:$A$300,$A258,$F$2:$F$300,"&lt;"&amp;$F258,$R$2:$R$300,"&gt;0")=0,"ÖDEMEDE","SIRADA")))</f>
        <v/>
      </c>
      <c r="T258" s="7" t="n"/>
      <c r="U258" s="7" t="n"/>
      <c r="V258">
        <f>IF($E258="","",$A258&amp;"|"&amp;$S258)</f>
        <v/>
      </c>
    </row>
    <row r="259">
      <c r="A259" s="7" t="n"/>
      <c r="B259" s="8">
        <f>IF($A259="","",IFERROR(VLOOKUP($A259,PERSONEL!$A$2:$C$300,2,0),""))</f>
        <v/>
      </c>
      <c r="C259" s="9">
        <f>IF($A259="","",IFERROR(VLOOKUP($A259,PERSONEL!$A$2:$C$300,3,0),""))</f>
        <v/>
      </c>
      <c r="D259" s="10" t="n"/>
      <c r="E259" s="7" t="n"/>
      <c r="F259" s="7" t="n"/>
      <c r="G259" s="7" t="n"/>
      <c r="H259" s="7" t="n"/>
      <c r="I259" s="9" t="n"/>
      <c r="J259" s="7" t="n"/>
      <c r="K259" s="7" t="n"/>
      <c r="L259" s="7" t="n"/>
      <c r="M259" s="9" t="n"/>
      <c r="N259" s="9">
        <f>IF($E259="","",IF($S259&lt;&gt;"ÖDEMEDE",0,MIN($R259,IF($J259="Oran",IFERROR($C259*$K259/$L259,0),$M259))))</f>
        <v/>
      </c>
      <c r="O259" s="9" t="n"/>
      <c r="P259" s="9">
        <f>IF($E259="","",SUMIFS('AYLIK KESİNTİLER'!$E$2:$E$5000,'AYLIK KESİNTİLER'!$A$2:$A$5000,$A259,'AYLIK KESİNTİLER'!$B$2:$B$5000,$E259))</f>
        <v/>
      </c>
      <c r="Q259" s="9">
        <f>IF($E259="","",$O259+$P259)</f>
        <v/>
      </c>
      <c r="R259" s="9">
        <f>IF($E259="","",$I259-$Q259)</f>
        <v/>
      </c>
      <c r="S259" s="12">
        <f>IF($E259="","",IF($R259&lt;=0,"KAPANDI",IF(COUNTIFS($A$2:$A$300,$A259,$F$2:$F$300,"&lt;"&amp;$F259,$R$2:$R$300,"&gt;0")=0,"ÖDEMEDE","SIRADA")))</f>
        <v/>
      </c>
      <c r="T259" s="7" t="n"/>
      <c r="U259" s="7" t="n"/>
      <c r="V259">
        <f>IF($E259="","",$A259&amp;"|"&amp;$S259)</f>
        <v/>
      </c>
    </row>
    <row r="260">
      <c r="A260" s="7" t="n"/>
      <c r="B260" s="8">
        <f>IF($A260="","",IFERROR(VLOOKUP($A260,PERSONEL!$A$2:$C$300,2,0),""))</f>
        <v/>
      </c>
      <c r="C260" s="9">
        <f>IF($A260="","",IFERROR(VLOOKUP($A260,PERSONEL!$A$2:$C$300,3,0),""))</f>
        <v/>
      </c>
      <c r="D260" s="10" t="n"/>
      <c r="E260" s="7" t="n"/>
      <c r="F260" s="7" t="n"/>
      <c r="G260" s="7" t="n"/>
      <c r="H260" s="7" t="n"/>
      <c r="I260" s="9" t="n"/>
      <c r="J260" s="7" t="n"/>
      <c r="K260" s="7" t="n"/>
      <c r="L260" s="7" t="n"/>
      <c r="M260" s="9" t="n"/>
      <c r="N260" s="9">
        <f>IF($E260="","",IF($S260&lt;&gt;"ÖDEMEDE",0,MIN($R260,IF($J260="Oran",IFERROR($C260*$K260/$L260,0),$M260))))</f>
        <v/>
      </c>
      <c r="O260" s="9" t="n"/>
      <c r="P260" s="9">
        <f>IF($E260="","",SUMIFS('AYLIK KESİNTİLER'!$E$2:$E$5000,'AYLIK KESİNTİLER'!$A$2:$A$5000,$A260,'AYLIK KESİNTİLER'!$B$2:$B$5000,$E260))</f>
        <v/>
      </c>
      <c r="Q260" s="9">
        <f>IF($E260="","",$O260+$P260)</f>
        <v/>
      </c>
      <c r="R260" s="9">
        <f>IF($E260="","",$I260-$Q260)</f>
        <v/>
      </c>
      <c r="S260" s="12">
        <f>IF($E260="","",IF($R260&lt;=0,"KAPANDI",IF(COUNTIFS($A$2:$A$300,$A260,$F$2:$F$300,"&lt;"&amp;$F260,$R$2:$R$300,"&gt;0")=0,"ÖDEMEDE","SIRADA")))</f>
        <v/>
      </c>
      <c r="T260" s="7" t="n"/>
      <c r="U260" s="7" t="n"/>
      <c r="V260">
        <f>IF($E260="","",$A260&amp;"|"&amp;$S260)</f>
        <v/>
      </c>
    </row>
    <row r="261">
      <c r="A261" s="7" t="n"/>
      <c r="B261" s="8">
        <f>IF($A261="","",IFERROR(VLOOKUP($A261,PERSONEL!$A$2:$C$300,2,0),""))</f>
        <v/>
      </c>
      <c r="C261" s="9">
        <f>IF($A261="","",IFERROR(VLOOKUP($A261,PERSONEL!$A$2:$C$300,3,0),""))</f>
        <v/>
      </c>
      <c r="D261" s="10" t="n"/>
      <c r="E261" s="7" t="n"/>
      <c r="F261" s="7" t="n"/>
      <c r="G261" s="7" t="n"/>
      <c r="H261" s="7" t="n"/>
      <c r="I261" s="9" t="n"/>
      <c r="J261" s="7" t="n"/>
      <c r="K261" s="7" t="n"/>
      <c r="L261" s="7" t="n"/>
      <c r="M261" s="9" t="n"/>
      <c r="N261" s="9">
        <f>IF($E261="","",IF($S261&lt;&gt;"ÖDEMEDE",0,MIN($R261,IF($J261="Oran",IFERROR($C261*$K261/$L261,0),$M261))))</f>
        <v/>
      </c>
      <c r="O261" s="9" t="n"/>
      <c r="P261" s="9">
        <f>IF($E261="","",SUMIFS('AYLIK KESİNTİLER'!$E$2:$E$5000,'AYLIK KESİNTİLER'!$A$2:$A$5000,$A261,'AYLIK KESİNTİLER'!$B$2:$B$5000,$E261))</f>
        <v/>
      </c>
      <c r="Q261" s="9">
        <f>IF($E261="","",$O261+$P261)</f>
        <v/>
      </c>
      <c r="R261" s="9">
        <f>IF($E261="","",$I261-$Q261)</f>
        <v/>
      </c>
      <c r="S261" s="12">
        <f>IF($E261="","",IF($R261&lt;=0,"KAPANDI",IF(COUNTIFS($A$2:$A$300,$A261,$F$2:$F$300,"&lt;"&amp;$F261,$R$2:$R$300,"&gt;0")=0,"ÖDEMEDE","SIRADA")))</f>
        <v/>
      </c>
      <c r="T261" s="7" t="n"/>
      <c r="U261" s="7" t="n"/>
      <c r="V261">
        <f>IF($E261="","",$A261&amp;"|"&amp;$S261)</f>
        <v/>
      </c>
    </row>
    <row r="262">
      <c r="A262" s="7" t="n"/>
      <c r="B262" s="8">
        <f>IF($A262="","",IFERROR(VLOOKUP($A262,PERSONEL!$A$2:$C$300,2,0),""))</f>
        <v/>
      </c>
      <c r="C262" s="9">
        <f>IF($A262="","",IFERROR(VLOOKUP($A262,PERSONEL!$A$2:$C$300,3,0),""))</f>
        <v/>
      </c>
      <c r="D262" s="10" t="n"/>
      <c r="E262" s="7" t="n"/>
      <c r="F262" s="7" t="n"/>
      <c r="G262" s="7" t="n"/>
      <c r="H262" s="7" t="n"/>
      <c r="I262" s="9" t="n"/>
      <c r="J262" s="7" t="n"/>
      <c r="K262" s="7" t="n"/>
      <c r="L262" s="7" t="n"/>
      <c r="M262" s="9" t="n"/>
      <c r="N262" s="9">
        <f>IF($E262="","",IF($S262&lt;&gt;"ÖDEMEDE",0,MIN($R262,IF($J262="Oran",IFERROR($C262*$K262/$L262,0),$M262))))</f>
        <v/>
      </c>
      <c r="O262" s="9" t="n"/>
      <c r="P262" s="9">
        <f>IF($E262="","",SUMIFS('AYLIK KESİNTİLER'!$E$2:$E$5000,'AYLIK KESİNTİLER'!$A$2:$A$5000,$A262,'AYLIK KESİNTİLER'!$B$2:$B$5000,$E262))</f>
        <v/>
      </c>
      <c r="Q262" s="9">
        <f>IF($E262="","",$O262+$P262)</f>
        <v/>
      </c>
      <c r="R262" s="9">
        <f>IF($E262="","",$I262-$Q262)</f>
        <v/>
      </c>
      <c r="S262" s="12">
        <f>IF($E262="","",IF($R262&lt;=0,"KAPANDI",IF(COUNTIFS($A$2:$A$300,$A262,$F$2:$F$300,"&lt;"&amp;$F262,$R$2:$R$300,"&gt;0")=0,"ÖDEMEDE","SIRADA")))</f>
        <v/>
      </c>
      <c r="T262" s="7" t="n"/>
      <c r="U262" s="7" t="n"/>
      <c r="V262">
        <f>IF($E262="","",$A262&amp;"|"&amp;$S262)</f>
        <v/>
      </c>
    </row>
    <row r="263">
      <c r="A263" s="7" t="n"/>
      <c r="B263" s="8">
        <f>IF($A263="","",IFERROR(VLOOKUP($A263,PERSONEL!$A$2:$C$300,2,0),""))</f>
        <v/>
      </c>
      <c r="C263" s="9">
        <f>IF($A263="","",IFERROR(VLOOKUP($A263,PERSONEL!$A$2:$C$300,3,0),""))</f>
        <v/>
      </c>
      <c r="D263" s="10" t="n"/>
      <c r="E263" s="7" t="n"/>
      <c r="F263" s="7" t="n"/>
      <c r="G263" s="7" t="n"/>
      <c r="H263" s="7" t="n"/>
      <c r="I263" s="9" t="n"/>
      <c r="J263" s="7" t="n"/>
      <c r="K263" s="7" t="n"/>
      <c r="L263" s="7" t="n"/>
      <c r="M263" s="9" t="n"/>
      <c r="N263" s="9">
        <f>IF($E263="","",IF($S263&lt;&gt;"ÖDEMEDE",0,MIN($R263,IF($J263="Oran",IFERROR($C263*$K263/$L263,0),$M263))))</f>
        <v/>
      </c>
      <c r="O263" s="9" t="n"/>
      <c r="P263" s="9">
        <f>IF($E263="","",SUMIFS('AYLIK KESİNTİLER'!$E$2:$E$5000,'AYLIK KESİNTİLER'!$A$2:$A$5000,$A263,'AYLIK KESİNTİLER'!$B$2:$B$5000,$E263))</f>
        <v/>
      </c>
      <c r="Q263" s="9">
        <f>IF($E263="","",$O263+$P263)</f>
        <v/>
      </c>
      <c r="R263" s="9">
        <f>IF($E263="","",$I263-$Q263)</f>
        <v/>
      </c>
      <c r="S263" s="12">
        <f>IF($E263="","",IF($R263&lt;=0,"KAPANDI",IF(COUNTIFS($A$2:$A$300,$A263,$F$2:$F$300,"&lt;"&amp;$F263,$R$2:$R$300,"&gt;0")=0,"ÖDEMEDE","SIRADA")))</f>
        <v/>
      </c>
      <c r="T263" s="7" t="n"/>
      <c r="U263" s="7" t="n"/>
      <c r="V263">
        <f>IF($E263="","",$A263&amp;"|"&amp;$S263)</f>
        <v/>
      </c>
    </row>
    <row r="264">
      <c r="A264" s="7" t="n"/>
      <c r="B264" s="8">
        <f>IF($A264="","",IFERROR(VLOOKUP($A264,PERSONEL!$A$2:$C$300,2,0),""))</f>
        <v/>
      </c>
      <c r="C264" s="9">
        <f>IF($A264="","",IFERROR(VLOOKUP($A264,PERSONEL!$A$2:$C$300,3,0),""))</f>
        <v/>
      </c>
      <c r="D264" s="10" t="n"/>
      <c r="E264" s="7" t="n"/>
      <c r="F264" s="7" t="n"/>
      <c r="G264" s="7" t="n"/>
      <c r="H264" s="7" t="n"/>
      <c r="I264" s="9" t="n"/>
      <c r="J264" s="7" t="n"/>
      <c r="K264" s="7" t="n"/>
      <c r="L264" s="7" t="n"/>
      <c r="M264" s="9" t="n"/>
      <c r="N264" s="9">
        <f>IF($E264="","",IF($S264&lt;&gt;"ÖDEMEDE",0,MIN($R264,IF($J264="Oran",IFERROR($C264*$K264/$L264,0),$M264))))</f>
        <v/>
      </c>
      <c r="O264" s="9" t="n"/>
      <c r="P264" s="9">
        <f>IF($E264="","",SUMIFS('AYLIK KESİNTİLER'!$E$2:$E$5000,'AYLIK KESİNTİLER'!$A$2:$A$5000,$A264,'AYLIK KESİNTİLER'!$B$2:$B$5000,$E264))</f>
        <v/>
      </c>
      <c r="Q264" s="9">
        <f>IF($E264="","",$O264+$P264)</f>
        <v/>
      </c>
      <c r="R264" s="9">
        <f>IF($E264="","",$I264-$Q264)</f>
        <v/>
      </c>
      <c r="S264" s="12">
        <f>IF($E264="","",IF($R264&lt;=0,"KAPANDI",IF(COUNTIFS($A$2:$A$300,$A264,$F$2:$F$300,"&lt;"&amp;$F264,$R$2:$R$300,"&gt;0")=0,"ÖDEMEDE","SIRADA")))</f>
        <v/>
      </c>
      <c r="T264" s="7" t="n"/>
      <c r="U264" s="7" t="n"/>
      <c r="V264">
        <f>IF($E264="","",$A264&amp;"|"&amp;$S264)</f>
        <v/>
      </c>
    </row>
    <row r="265">
      <c r="A265" s="7" t="n"/>
      <c r="B265" s="8">
        <f>IF($A265="","",IFERROR(VLOOKUP($A265,PERSONEL!$A$2:$C$300,2,0),""))</f>
        <v/>
      </c>
      <c r="C265" s="9">
        <f>IF($A265="","",IFERROR(VLOOKUP($A265,PERSONEL!$A$2:$C$300,3,0),""))</f>
        <v/>
      </c>
      <c r="D265" s="10" t="n"/>
      <c r="E265" s="7" t="n"/>
      <c r="F265" s="7" t="n"/>
      <c r="G265" s="7" t="n"/>
      <c r="H265" s="7" t="n"/>
      <c r="I265" s="9" t="n"/>
      <c r="J265" s="7" t="n"/>
      <c r="K265" s="7" t="n"/>
      <c r="L265" s="7" t="n"/>
      <c r="M265" s="9" t="n"/>
      <c r="N265" s="9">
        <f>IF($E265="","",IF($S265&lt;&gt;"ÖDEMEDE",0,MIN($R265,IF($J265="Oran",IFERROR($C265*$K265/$L265,0),$M265))))</f>
        <v/>
      </c>
      <c r="O265" s="9" t="n"/>
      <c r="P265" s="9">
        <f>IF($E265="","",SUMIFS('AYLIK KESİNTİLER'!$E$2:$E$5000,'AYLIK KESİNTİLER'!$A$2:$A$5000,$A265,'AYLIK KESİNTİLER'!$B$2:$B$5000,$E265))</f>
        <v/>
      </c>
      <c r="Q265" s="9">
        <f>IF($E265="","",$O265+$P265)</f>
        <v/>
      </c>
      <c r="R265" s="9">
        <f>IF($E265="","",$I265-$Q265)</f>
        <v/>
      </c>
      <c r="S265" s="12">
        <f>IF($E265="","",IF($R265&lt;=0,"KAPANDI",IF(COUNTIFS($A$2:$A$300,$A265,$F$2:$F$300,"&lt;"&amp;$F265,$R$2:$R$300,"&gt;0")=0,"ÖDEMEDE","SIRADA")))</f>
        <v/>
      </c>
      <c r="T265" s="7" t="n"/>
      <c r="U265" s="7" t="n"/>
      <c r="V265">
        <f>IF($E265="","",$A265&amp;"|"&amp;$S265)</f>
        <v/>
      </c>
    </row>
    <row r="266">
      <c r="A266" s="7" t="n"/>
      <c r="B266" s="8">
        <f>IF($A266="","",IFERROR(VLOOKUP($A266,PERSONEL!$A$2:$C$300,2,0),""))</f>
        <v/>
      </c>
      <c r="C266" s="9">
        <f>IF($A266="","",IFERROR(VLOOKUP($A266,PERSONEL!$A$2:$C$300,3,0),""))</f>
        <v/>
      </c>
      <c r="D266" s="10" t="n"/>
      <c r="E266" s="7" t="n"/>
      <c r="F266" s="7" t="n"/>
      <c r="G266" s="7" t="n"/>
      <c r="H266" s="7" t="n"/>
      <c r="I266" s="9" t="n"/>
      <c r="J266" s="7" t="n"/>
      <c r="K266" s="7" t="n"/>
      <c r="L266" s="7" t="n"/>
      <c r="M266" s="9" t="n"/>
      <c r="N266" s="9">
        <f>IF($E266="","",IF($S266&lt;&gt;"ÖDEMEDE",0,MIN($R266,IF($J266="Oran",IFERROR($C266*$K266/$L266,0),$M266))))</f>
        <v/>
      </c>
      <c r="O266" s="9" t="n"/>
      <c r="P266" s="9">
        <f>IF($E266="","",SUMIFS('AYLIK KESİNTİLER'!$E$2:$E$5000,'AYLIK KESİNTİLER'!$A$2:$A$5000,$A266,'AYLIK KESİNTİLER'!$B$2:$B$5000,$E266))</f>
        <v/>
      </c>
      <c r="Q266" s="9">
        <f>IF($E266="","",$O266+$P266)</f>
        <v/>
      </c>
      <c r="R266" s="9">
        <f>IF($E266="","",$I266-$Q266)</f>
        <v/>
      </c>
      <c r="S266" s="12">
        <f>IF($E266="","",IF($R266&lt;=0,"KAPANDI",IF(COUNTIFS($A$2:$A$300,$A266,$F$2:$F$300,"&lt;"&amp;$F266,$R$2:$R$300,"&gt;0")=0,"ÖDEMEDE","SIRADA")))</f>
        <v/>
      </c>
      <c r="T266" s="7" t="n"/>
      <c r="U266" s="7" t="n"/>
      <c r="V266">
        <f>IF($E266="","",$A266&amp;"|"&amp;$S266)</f>
        <v/>
      </c>
    </row>
    <row r="267">
      <c r="A267" s="7" t="n"/>
      <c r="B267" s="8">
        <f>IF($A267="","",IFERROR(VLOOKUP($A267,PERSONEL!$A$2:$C$300,2,0),""))</f>
        <v/>
      </c>
      <c r="C267" s="9">
        <f>IF($A267="","",IFERROR(VLOOKUP($A267,PERSONEL!$A$2:$C$300,3,0),""))</f>
        <v/>
      </c>
      <c r="D267" s="10" t="n"/>
      <c r="E267" s="7" t="n"/>
      <c r="F267" s="7" t="n"/>
      <c r="G267" s="7" t="n"/>
      <c r="H267" s="7" t="n"/>
      <c r="I267" s="9" t="n"/>
      <c r="J267" s="7" t="n"/>
      <c r="K267" s="7" t="n"/>
      <c r="L267" s="7" t="n"/>
      <c r="M267" s="9" t="n"/>
      <c r="N267" s="9">
        <f>IF($E267="","",IF($S267&lt;&gt;"ÖDEMEDE",0,MIN($R267,IF($J267="Oran",IFERROR($C267*$K267/$L267,0),$M267))))</f>
        <v/>
      </c>
      <c r="O267" s="9" t="n"/>
      <c r="P267" s="9">
        <f>IF($E267="","",SUMIFS('AYLIK KESİNTİLER'!$E$2:$E$5000,'AYLIK KESİNTİLER'!$A$2:$A$5000,$A267,'AYLIK KESİNTİLER'!$B$2:$B$5000,$E267))</f>
        <v/>
      </c>
      <c r="Q267" s="9">
        <f>IF($E267="","",$O267+$P267)</f>
        <v/>
      </c>
      <c r="R267" s="9">
        <f>IF($E267="","",$I267-$Q267)</f>
        <v/>
      </c>
      <c r="S267" s="12">
        <f>IF($E267="","",IF($R267&lt;=0,"KAPANDI",IF(COUNTIFS($A$2:$A$300,$A267,$F$2:$F$300,"&lt;"&amp;$F267,$R$2:$R$300,"&gt;0")=0,"ÖDEMEDE","SIRADA")))</f>
        <v/>
      </c>
      <c r="T267" s="7" t="n"/>
      <c r="U267" s="7" t="n"/>
      <c r="V267">
        <f>IF($E267="","",$A267&amp;"|"&amp;$S267)</f>
        <v/>
      </c>
    </row>
    <row r="268">
      <c r="A268" s="7" t="n"/>
      <c r="B268" s="8">
        <f>IF($A268="","",IFERROR(VLOOKUP($A268,PERSONEL!$A$2:$C$300,2,0),""))</f>
        <v/>
      </c>
      <c r="C268" s="9">
        <f>IF($A268="","",IFERROR(VLOOKUP($A268,PERSONEL!$A$2:$C$300,3,0),""))</f>
        <v/>
      </c>
      <c r="D268" s="10" t="n"/>
      <c r="E268" s="7" t="n"/>
      <c r="F268" s="7" t="n"/>
      <c r="G268" s="7" t="n"/>
      <c r="H268" s="7" t="n"/>
      <c r="I268" s="9" t="n"/>
      <c r="J268" s="7" t="n"/>
      <c r="K268" s="7" t="n"/>
      <c r="L268" s="7" t="n"/>
      <c r="M268" s="9" t="n"/>
      <c r="N268" s="9">
        <f>IF($E268="","",IF($S268&lt;&gt;"ÖDEMEDE",0,MIN($R268,IF($J268="Oran",IFERROR($C268*$K268/$L268,0),$M268))))</f>
        <v/>
      </c>
      <c r="O268" s="9" t="n"/>
      <c r="P268" s="9">
        <f>IF($E268="","",SUMIFS('AYLIK KESİNTİLER'!$E$2:$E$5000,'AYLIK KESİNTİLER'!$A$2:$A$5000,$A268,'AYLIK KESİNTİLER'!$B$2:$B$5000,$E268))</f>
        <v/>
      </c>
      <c r="Q268" s="9">
        <f>IF($E268="","",$O268+$P268)</f>
        <v/>
      </c>
      <c r="R268" s="9">
        <f>IF($E268="","",$I268-$Q268)</f>
        <v/>
      </c>
      <c r="S268" s="12">
        <f>IF($E268="","",IF($R268&lt;=0,"KAPANDI",IF(COUNTIFS($A$2:$A$300,$A268,$F$2:$F$300,"&lt;"&amp;$F268,$R$2:$R$300,"&gt;0")=0,"ÖDEMEDE","SIRADA")))</f>
        <v/>
      </c>
      <c r="T268" s="7" t="n"/>
      <c r="U268" s="7" t="n"/>
      <c r="V268">
        <f>IF($E268="","",$A268&amp;"|"&amp;$S268)</f>
        <v/>
      </c>
    </row>
    <row r="269">
      <c r="A269" s="7" t="n"/>
      <c r="B269" s="8">
        <f>IF($A269="","",IFERROR(VLOOKUP($A269,PERSONEL!$A$2:$C$300,2,0),""))</f>
        <v/>
      </c>
      <c r="C269" s="9">
        <f>IF($A269="","",IFERROR(VLOOKUP($A269,PERSONEL!$A$2:$C$300,3,0),""))</f>
        <v/>
      </c>
      <c r="D269" s="10" t="n"/>
      <c r="E269" s="7" t="n"/>
      <c r="F269" s="7" t="n"/>
      <c r="G269" s="7" t="n"/>
      <c r="H269" s="7" t="n"/>
      <c r="I269" s="9" t="n"/>
      <c r="J269" s="7" t="n"/>
      <c r="K269" s="7" t="n"/>
      <c r="L269" s="7" t="n"/>
      <c r="M269" s="9" t="n"/>
      <c r="N269" s="9">
        <f>IF($E269="","",IF($S269&lt;&gt;"ÖDEMEDE",0,MIN($R269,IF($J269="Oran",IFERROR($C269*$K269/$L269,0),$M269))))</f>
        <v/>
      </c>
      <c r="O269" s="9" t="n"/>
      <c r="P269" s="9">
        <f>IF($E269="","",SUMIFS('AYLIK KESİNTİLER'!$E$2:$E$5000,'AYLIK KESİNTİLER'!$A$2:$A$5000,$A269,'AYLIK KESİNTİLER'!$B$2:$B$5000,$E269))</f>
        <v/>
      </c>
      <c r="Q269" s="9">
        <f>IF($E269="","",$O269+$P269)</f>
        <v/>
      </c>
      <c r="R269" s="9">
        <f>IF($E269="","",$I269-$Q269)</f>
        <v/>
      </c>
      <c r="S269" s="12">
        <f>IF($E269="","",IF($R269&lt;=0,"KAPANDI",IF(COUNTIFS($A$2:$A$300,$A269,$F$2:$F$300,"&lt;"&amp;$F269,$R$2:$R$300,"&gt;0")=0,"ÖDEMEDE","SIRADA")))</f>
        <v/>
      </c>
      <c r="T269" s="7" t="n"/>
      <c r="U269" s="7" t="n"/>
      <c r="V269">
        <f>IF($E269="","",$A269&amp;"|"&amp;$S269)</f>
        <v/>
      </c>
    </row>
    <row r="270">
      <c r="A270" s="7" t="n"/>
      <c r="B270" s="8">
        <f>IF($A270="","",IFERROR(VLOOKUP($A270,PERSONEL!$A$2:$C$300,2,0),""))</f>
        <v/>
      </c>
      <c r="C270" s="9">
        <f>IF($A270="","",IFERROR(VLOOKUP($A270,PERSONEL!$A$2:$C$300,3,0),""))</f>
        <v/>
      </c>
      <c r="D270" s="10" t="n"/>
      <c r="E270" s="7" t="n"/>
      <c r="F270" s="7" t="n"/>
      <c r="G270" s="7" t="n"/>
      <c r="H270" s="7" t="n"/>
      <c r="I270" s="9" t="n"/>
      <c r="J270" s="7" t="n"/>
      <c r="K270" s="7" t="n"/>
      <c r="L270" s="7" t="n"/>
      <c r="M270" s="9" t="n"/>
      <c r="N270" s="9">
        <f>IF($E270="","",IF($S270&lt;&gt;"ÖDEMEDE",0,MIN($R270,IF($J270="Oran",IFERROR($C270*$K270/$L270,0),$M270))))</f>
        <v/>
      </c>
      <c r="O270" s="9" t="n"/>
      <c r="P270" s="9">
        <f>IF($E270="","",SUMIFS('AYLIK KESİNTİLER'!$E$2:$E$5000,'AYLIK KESİNTİLER'!$A$2:$A$5000,$A270,'AYLIK KESİNTİLER'!$B$2:$B$5000,$E270))</f>
        <v/>
      </c>
      <c r="Q270" s="9">
        <f>IF($E270="","",$O270+$P270)</f>
        <v/>
      </c>
      <c r="R270" s="9">
        <f>IF($E270="","",$I270-$Q270)</f>
        <v/>
      </c>
      <c r="S270" s="12">
        <f>IF($E270="","",IF($R270&lt;=0,"KAPANDI",IF(COUNTIFS($A$2:$A$300,$A270,$F$2:$F$300,"&lt;"&amp;$F270,$R$2:$R$300,"&gt;0")=0,"ÖDEMEDE","SIRADA")))</f>
        <v/>
      </c>
      <c r="T270" s="7" t="n"/>
      <c r="U270" s="7" t="n"/>
      <c r="V270">
        <f>IF($E270="","",$A270&amp;"|"&amp;$S270)</f>
        <v/>
      </c>
    </row>
    <row r="271">
      <c r="A271" s="7" t="n"/>
      <c r="B271" s="8">
        <f>IF($A271="","",IFERROR(VLOOKUP($A271,PERSONEL!$A$2:$C$300,2,0),""))</f>
        <v/>
      </c>
      <c r="C271" s="9">
        <f>IF($A271="","",IFERROR(VLOOKUP($A271,PERSONEL!$A$2:$C$300,3,0),""))</f>
        <v/>
      </c>
      <c r="D271" s="10" t="n"/>
      <c r="E271" s="7" t="n"/>
      <c r="F271" s="7" t="n"/>
      <c r="G271" s="7" t="n"/>
      <c r="H271" s="7" t="n"/>
      <c r="I271" s="9" t="n"/>
      <c r="J271" s="7" t="n"/>
      <c r="K271" s="7" t="n"/>
      <c r="L271" s="7" t="n"/>
      <c r="M271" s="9" t="n"/>
      <c r="N271" s="9">
        <f>IF($E271="","",IF($S271&lt;&gt;"ÖDEMEDE",0,MIN($R271,IF($J271="Oran",IFERROR($C271*$K271/$L271,0),$M271))))</f>
        <v/>
      </c>
      <c r="O271" s="9" t="n"/>
      <c r="P271" s="9">
        <f>IF($E271="","",SUMIFS('AYLIK KESİNTİLER'!$E$2:$E$5000,'AYLIK KESİNTİLER'!$A$2:$A$5000,$A271,'AYLIK KESİNTİLER'!$B$2:$B$5000,$E271))</f>
        <v/>
      </c>
      <c r="Q271" s="9">
        <f>IF($E271="","",$O271+$P271)</f>
        <v/>
      </c>
      <c r="R271" s="9">
        <f>IF($E271="","",$I271-$Q271)</f>
        <v/>
      </c>
      <c r="S271" s="12">
        <f>IF($E271="","",IF($R271&lt;=0,"KAPANDI",IF(COUNTIFS($A$2:$A$300,$A271,$F$2:$F$300,"&lt;"&amp;$F271,$R$2:$R$300,"&gt;0")=0,"ÖDEMEDE","SIRADA")))</f>
        <v/>
      </c>
      <c r="T271" s="7" t="n"/>
      <c r="U271" s="7" t="n"/>
      <c r="V271">
        <f>IF($E271="","",$A271&amp;"|"&amp;$S271)</f>
        <v/>
      </c>
    </row>
    <row r="272">
      <c r="A272" s="7" t="n"/>
      <c r="B272" s="8">
        <f>IF($A272="","",IFERROR(VLOOKUP($A272,PERSONEL!$A$2:$C$300,2,0),""))</f>
        <v/>
      </c>
      <c r="C272" s="9">
        <f>IF($A272="","",IFERROR(VLOOKUP($A272,PERSONEL!$A$2:$C$300,3,0),""))</f>
        <v/>
      </c>
      <c r="D272" s="10" t="n"/>
      <c r="E272" s="7" t="n"/>
      <c r="F272" s="7" t="n"/>
      <c r="G272" s="7" t="n"/>
      <c r="H272" s="7" t="n"/>
      <c r="I272" s="9" t="n"/>
      <c r="J272" s="7" t="n"/>
      <c r="K272" s="7" t="n"/>
      <c r="L272" s="7" t="n"/>
      <c r="M272" s="9" t="n"/>
      <c r="N272" s="9">
        <f>IF($E272="","",IF($S272&lt;&gt;"ÖDEMEDE",0,MIN($R272,IF($J272="Oran",IFERROR($C272*$K272/$L272,0),$M272))))</f>
        <v/>
      </c>
      <c r="O272" s="9" t="n"/>
      <c r="P272" s="9">
        <f>IF($E272="","",SUMIFS('AYLIK KESİNTİLER'!$E$2:$E$5000,'AYLIK KESİNTİLER'!$A$2:$A$5000,$A272,'AYLIK KESİNTİLER'!$B$2:$B$5000,$E272))</f>
        <v/>
      </c>
      <c r="Q272" s="9">
        <f>IF($E272="","",$O272+$P272)</f>
        <v/>
      </c>
      <c r="R272" s="9">
        <f>IF($E272="","",$I272-$Q272)</f>
        <v/>
      </c>
      <c r="S272" s="12">
        <f>IF($E272="","",IF($R272&lt;=0,"KAPANDI",IF(COUNTIFS($A$2:$A$300,$A272,$F$2:$F$300,"&lt;"&amp;$F272,$R$2:$R$300,"&gt;0")=0,"ÖDEMEDE","SIRADA")))</f>
        <v/>
      </c>
      <c r="T272" s="7" t="n"/>
      <c r="U272" s="7" t="n"/>
      <c r="V272">
        <f>IF($E272="","",$A272&amp;"|"&amp;$S272)</f>
        <v/>
      </c>
    </row>
    <row r="273">
      <c r="A273" s="7" t="n"/>
      <c r="B273" s="8">
        <f>IF($A273="","",IFERROR(VLOOKUP($A273,PERSONEL!$A$2:$C$300,2,0),""))</f>
        <v/>
      </c>
      <c r="C273" s="9">
        <f>IF($A273="","",IFERROR(VLOOKUP($A273,PERSONEL!$A$2:$C$300,3,0),""))</f>
        <v/>
      </c>
      <c r="D273" s="10" t="n"/>
      <c r="E273" s="7" t="n"/>
      <c r="F273" s="7" t="n"/>
      <c r="G273" s="7" t="n"/>
      <c r="H273" s="7" t="n"/>
      <c r="I273" s="9" t="n"/>
      <c r="J273" s="7" t="n"/>
      <c r="K273" s="7" t="n"/>
      <c r="L273" s="7" t="n"/>
      <c r="M273" s="9" t="n"/>
      <c r="N273" s="9">
        <f>IF($E273="","",IF($S273&lt;&gt;"ÖDEMEDE",0,MIN($R273,IF($J273="Oran",IFERROR($C273*$K273/$L273,0),$M273))))</f>
        <v/>
      </c>
      <c r="O273" s="9" t="n"/>
      <c r="P273" s="9">
        <f>IF($E273="","",SUMIFS('AYLIK KESİNTİLER'!$E$2:$E$5000,'AYLIK KESİNTİLER'!$A$2:$A$5000,$A273,'AYLIK KESİNTİLER'!$B$2:$B$5000,$E273))</f>
        <v/>
      </c>
      <c r="Q273" s="9">
        <f>IF($E273="","",$O273+$P273)</f>
        <v/>
      </c>
      <c r="R273" s="9">
        <f>IF($E273="","",$I273-$Q273)</f>
        <v/>
      </c>
      <c r="S273" s="12">
        <f>IF($E273="","",IF($R273&lt;=0,"KAPANDI",IF(COUNTIFS($A$2:$A$300,$A273,$F$2:$F$300,"&lt;"&amp;$F273,$R$2:$R$300,"&gt;0")=0,"ÖDEMEDE","SIRADA")))</f>
        <v/>
      </c>
      <c r="T273" s="7" t="n"/>
      <c r="U273" s="7" t="n"/>
      <c r="V273">
        <f>IF($E273="","",$A273&amp;"|"&amp;$S273)</f>
        <v/>
      </c>
    </row>
    <row r="274">
      <c r="A274" s="7" t="n"/>
      <c r="B274" s="8">
        <f>IF($A274="","",IFERROR(VLOOKUP($A274,PERSONEL!$A$2:$C$300,2,0),""))</f>
        <v/>
      </c>
      <c r="C274" s="9">
        <f>IF($A274="","",IFERROR(VLOOKUP($A274,PERSONEL!$A$2:$C$300,3,0),""))</f>
        <v/>
      </c>
      <c r="D274" s="10" t="n"/>
      <c r="E274" s="7" t="n"/>
      <c r="F274" s="7" t="n"/>
      <c r="G274" s="7" t="n"/>
      <c r="H274" s="7" t="n"/>
      <c r="I274" s="9" t="n"/>
      <c r="J274" s="7" t="n"/>
      <c r="K274" s="7" t="n"/>
      <c r="L274" s="7" t="n"/>
      <c r="M274" s="9" t="n"/>
      <c r="N274" s="9">
        <f>IF($E274="","",IF($S274&lt;&gt;"ÖDEMEDE",0,MIN($R274,IF($J274="Oran",IFERROR($C274*$K274/$L274,0),$M274))))</f>
        <v/>
      </c>
      <c r="O274" s="9" t="n"/>
      <c r="P274" s="9">
        <f>IF($E274="","",SUMIFS('AYLIK KESİNTİLER'!$E$2:$E$5000,'AYLIK KESİNTİLER'!$A$2:$A$5000,$A274,'AYLIK KESİNTİLER'!$B$2:$B$5000,$E274))</f>
        <v/>
      </c>
      <c r="Q274" s="9">
        <f>IF($E274="","",$O274+$P274)</f>
        <v/>
      </c>
      <c r="R274" s="9">
        <f>IF($E274="","",$I274-$Q274)</f>
        <v/>
      </c>
      <c r="S274" s="12">
        <f>IF($E274="","",IF($R274&lt;=0,"KAPANDI",IF(COUNTIFS($A$2:$A$300,$A274,$F$2:$F$300,"&lt;"&amp;$F274,$R$2:$R$300,"&gt;0")=0,"ÖDEMEDE","SIRADA")))</f>
        <v/>
      </c>
      <c r="T274" s="7" t="n"/>
      <c r="U274" s="7" t="n"/>
      <c r="V274">
        <f>IF($E274="","",$A274&amp;"|"&amp;$S274)</f>
        <v/>
      </c>
    </row>
    <row r="275">
      <c r="A275" s="7" t="n"/>
      <c r="B275" s="8">
        <f>IF($A275="","",IFERROR(VLOOKUP($A275,PERSONEL!$A$2:$C$300,2,0),""))</f>
        <v/>
      </c>
      <c r="C275" s="9">
        <f>IF($A275="","",IFERROR(VLOOKUP($A275,PERSONEL!$A$2:$C$300,3,0),""))</f>
        <v/>
      </c>
      <c r="D275" s="10" t="n"/>
      <c r="E275" s="7" t="n"/>
      <c r="F275" s="7" t="n"/>
      <c r="G275" s="7" t="n"/>
      <c r="H275" s="7" t="n"/>
      <c r="I275" s="9" t="n"/>
      <c r="J275" s="7" t="n"/>
      <c r="K275" s="7" t="n"/>
      <c r="L275" s="7" t="n"/>
      <c r="M275" s="9" t="n"/>
      <c r="N275" s="9">
        <f>IF($E275="","",IF($S275&lt;&gt;"ÖDEMEDE",0,MIN($R275,IF($J275="Oran",IFERROR($C275*$K275/$L275,0),$M275))))</f>
        <v/>
      </c>
      <c r="O275" s="9" t="n"/>
      <c r="P275" s="9">
        <f>IF($E275="","",SUMIFS('AYLIK KESİNTİLER'!$E$2:$E$5000,'AYLIK KESİNTİLER'!$A$2:$A$5000,$A275,'AYLIK KESİNTİLER'!$B$2:$B$5000,$E275))</f>
        <v/>
      </c>
      <c r="Q275" s="9">
        <f>IF($E275="","",$O275+$P275)</f>
        <v/>
      </c>
      <c r="R275" s="9">
        <f>IF($E275="","",$I275-$Q275)</f>
        <v/>
      </c>
      <c r="S275" s="12">
        <f>IF($E275="","",IF($R275&lt;=0,"KAPANDI",IF(COUNTIFS($A$2:$A$300,$A275,$F$2:$F$300,"&lt;"&amp;$F275,$R$2:$R$300,"&gt;0")=0,"ÖDEMEDE","SIRADA")))</f>
        <v/>
      </c>
      <c r="T275" s="7" t="n"/>
      <c r="U275" s="7" t="n"/>
      <c r="V275">
        <f>IF($E275="","",$A275&amp;"|"&amp;$S275)</f>
        <v/>
      </c>
    </row>
    <row r="276">
      <c r="A276" s="7" t="n"/>
      <c r="B276" s="8">
        <f>IF($A276="","",IFERROR(VLOOKUP($A276,PERSONEL!$A$2:$C$300,2,0),""))</f>
        <v/>
      </c>
      <c r="C276" s="9">
        <f>IF($A276="","",IFERROR(VLOOKUP($A276,PERSONEL!$A$2:$C$300,3,0),""))</f>
        <v/>
      </c>
      <c r="D276" s="10" t="n"/>
      <c r="E276" s="7" t="n"/>
      <c r="F276" s="7" t="n"/>
      <c r="G276" s="7" t="n"/>
      <c r="H276" s="7" t="n"/>
      <c r="I276" s="9" t="n"/>
      <c r="J276" s="7" t="n"/>
      <c r="K276" s="7" t="n"/>
      <c r="L276" s="7" t="n"/>
      <c r="M276" s="9" t="n"/>
      <c r="N276" s="9">
        <f>IF($E276="","",IF($S276&lt;&gt;"ÖDEMEDE",0,MIN($R276,IF($J276="Oran",IFERROR($C276*$K276/$L276,0),$M276))))</f>
        <v/>
      </c>
      <c r="O276" s="9" t="n"/>
      <c r="P276" s="9">
        <f>IF($E276="","",SUMIFS('AYLIK KESİNTİLER'!$E$2:$E$5000,'AYLIK KESİNTİLER'!$A$2:$A$5000,$A276,'AYLIK KESİNTİLER'!$B$2:$B$5000,$E276))</f>
        <v/>
      </c>
      <c r="Q276" s="9">
        <f>IF($E276="","",$O276+$P276)</f>
        <v/>
      </c>
      <c r="R276" s="9">
        <f>IF($E276="","",$I276-$Q276)</f>
        <v/>
      </c>
      <c r="S276" s="12">
        <f>IF($E276="","",IF($R276&lt;=0,"KAPANDI",IF(COUNTIFS($A$2:$A$300,$A276,$F$2:$F$300,"&lt;"&amp;$F276,$R$2:$R$300,"&gt;0")=0,"ÖDEMEDE","SIRADA")))</f>
        <v/>
      </c>
      <c r="T276" s="7" t="n"/>
      <c r="U276" s="7" t="n"/>
      <c r="V276">
        <f>IF($E276="","",$A276&amp;"|"&amp;$S276)</f>
        <v/>
      </c>
    </row>
    <row r="277">
      <c r="A277" s="7" t="n"/>
      <c r="B277" s="8">
        <f>IF($A277="","",IFERROR(VLOOKUP($A277,PERSONEL!$A$2:$C$300,2,0),""))</f>
        <v/>
      </c>
      <c r="C277" s="9">
        <f>IF($A277="","",IFERROR(VLOOKUP($A277,PERSONEL!$A$2:$C$300,3,0),""))</f>
        <v/>
      </c>
      <c r="D277" s="10" t="n"/>
      <c r="E277" s="7" t="n"/>
      <c r="F277" s="7" t="n"/>
      <c r="G277" s="7" t="n"/>
      <c r="H277" s="7" t="n"/>
      <c r="I277" s="9" t="n"/>
      <c r="J277" s="7" t="n"/>
      <c r="K277" s="7" t="n"/>
      <c r="L277" s="7" t="n"/>
      <c r="M277" s="9" t="n"/>
      <c r="N277" s="9">
        <f>IF($E277="","",IF($S277&lt;&gt;"ÖDEMEDE",0,MIN($R277,IF($J277="Oran",IFERROR($C277*$K277/$L277,0),$M277))))</f>
        <v/>
      </c>
      <c r="O277" s="9" t="n"/>
      <c r="P277" s="9">
        <f>IF($E277="","",SUMIFS('AYLIK KESİNTİLER'!$E$2:$E$5000,'AYLIK KESİNTİLER'!$A$2:$A$5000,$A277,'AYLIK KESİNTİLER'!$B$2:$B$5000,$E277))</f>
        <v/>
      </c>
      <c r="Q277" s="9">
        <f>IF($E277="","",$O277+$P277)</f>
        <v/>
      </c>
      <c r="R277" s="9">
        <f>IF($E277="","",$I277-$Q277)</f>
        <v/>
      </c>
      <c r="S277" s="12">
        <f>IF($E277="","",IF($R277&lt;=0,"KAPANDI",IF(COUNTIFS($A$2:$A$300,$A277,$F$2:$F$300,"&lt;"&amp;$F277,$R$2:$R$300,"&gt;0")=0,"ÖDEMEDE","SIRADA")))</f>
        <v/>
      </c>
      <c r="T277" s="7" t="n"/>
      <c r="U277" s="7" t="n"/>
      <c r="V277">
        <f>IF($E277="","",$A277&amp;"|"&amp;$S277)</f>
        <v/>
      </c>
    </row>
    <row r="278">
      <c r="A278" s="7" t="n"/>
      <c r="B278" s="8">
        <f>IF($A278="","",IFERROR(VLOOKUP($A278,PERSONEL!$A$2:$C$300,2,0),""))</f>
        <v/>
      </c>
      <c r="C278" s="9">
        <f>IF($A278="","",IFERROR(VLOOKUP($A278,PERSONEL!$A$2:$C$300,3,0),""))</f>
        <v/>
      </c>
      <c r="D278" s="10" t="n"/>
      <c r="E278" s="7" t="n"/>
      <c r="F278" s="7" t="n"/>
      <c r="G278" s="7" t="n"/>
      <c r="H278" s="7" t="n"/>
      <c r="I278" s="9" t="n"/>
      <c r="J278" s="7" t="n"/>
      <c r="K278" s="7" t="n"/>
      <c r="L278" s="7" t="n"/>
      <c r="M278" s="9" t="n"/>
      <c r="N278" s="9">
        <f>IF($E278="","",IF($S278&lt;&gt;"ÖDEMEDE",0,MIN($R278,IF($J278="Oran",IFERROR($C278*$K278/$L278,0),$M278))))</f>
        <v/>
      </c>
      <c r="O278" s="9" t="n"/>
      <c r="P278" s="9">
        <f>IF($E278="","",SUMIFS('AYLIK KESİNTİLER'!$E$2:$E$5000,'AYLIK KESİNTİLER'!$A$2:$A$5000,$A278,'AYLIK KESİNTİLER'!$B$2:$B$5000,$E278))</f>
        <v/>
      </c>
      <c r="Q278" s="9">
        <f>IF($E278="","",$O278+$P278)</f>
        <v/>
      </c>
      <c r="R278" s="9">
        <f>IF($E278="","",$I278-$Q278)</f>
        <v/>
      </c>
      <c r="S278" s="12">
        <f>IF($E278="","",IF($R278&lt;=0,"KAPANDI",IF(COUNTIFS($A$2:$A$300,$A278,$F$2:$F$300,"&lt;"&amp;$F278,$R$2:$R$300,"&gt;0")=0,"ÖDEMEDE","SIRADA")))</f>
        <v/>
      </c>
      <c r="T278" s="7" t="n"/>
      <c r="U278" s="7" t="n"/>
      <c r="V278">
        <f>IF($E278="","",$A278&amp;"|"&amp;$S278)</f>
        <v/>
      </c>
    </row>
    <row r="279">
      <c r="A279" s="7" t="n"/>
      <c r="B279" s="8">
        <f>IF($A279="","",IFERROR(VLOOKUP($A279,PERSONEL!$A$2:$C$300,2,0),""))</f>
        <v/>
      </c>
      <c r="C279" s="9">
        <f>IF($A279="","",IFERROR(VLOOKUP($A279,PERSONEL!$A$2:$C$300,3,0),""))</f>
        <v/>
      </c>
      <c r="D279" s="10" t="n"/>
      <c r="E279" s="7" t="n"/>
      <c r="F279" s="7" t="n"/>
      <c r="G279" s="7" t="n"/>
      <c r="H279" s="7" t="n"/>
      <c r="I279" s="9" t="n"/>
      <c r="J279" s="7" t="n"/>
      <c r="K279" s="7" t="n"/>
      <c r="L279" s="7" t="n"/>
      <c r="M279" s="9" t="n"/>
      <c r="N279" s="9">
        <f>IF($E279="","",IF($S279&lt;&gt;"ÖDEMEDE",0,MIN($R279,IF($J279="Oran",IFERROR($C279*$K279/$L279,0),$M279))))</f>
        <v/>
      </c>
      <c r="O279" s="9" t="n"/>
      <c r="P279" s="9">
        <f>IF($E279="","",SUMIFS('AYLIK KESİNTİLER'!$E$2:$E$5000,'AYLIK KESİNTİLER'!$A$2:$A$5000,$A279,'AYLIK KESİNTİLER'!$B$2:$B$5000,$E279))</f>
        <v/>
      </c>
      <c r="Q279" s="9">
        <f>IF($E279="","",$O279+$P279)</f>
        <v/>
      </c>
      <c r="R279" s="9">
        <f>IF($E279="","",$I279-$Q279)</f>
        <v/>
      </c>
      <c r="S279" s="12">
        <f>IF($E279="","",IF($R279&lt;=0,"KAPANDI",IF(COUNTIFS($A$2:$A$300,$A279,$F$2:$F$300,"&lt;"&amp;$F279,$R$2:$R$300,"&gt;0")=0,"ÖDEMEDE","SIRADA")))</f>
        <v/>
      </c>
      <c r="T279" s="7" t="n"/>
      <c r="U279" s="7" t="n"/>
      <c r="V279">
        <f>IF($E279="","",$A279&amp;"|"&amp;$S279)</f>
        <v/>
      </c>
    </row>
    <row r="280">
      <c r="A280" s="7" t="n"/>
      <c r="B280" s="8">
        <f>IF($A280="","",IFERROR(VLOOKUP($A280,PERSONEL!$A$2:$C$300,2,0),""))</f>
        <v/>
      </c>
      <c r="C280" s="9">
        <f>IF($A280="","",IFERROR(VLOOKUP($A280,PERSONEL!$A$2:$C$300,3,0),""))</f>
        <v/>
      </c>
      <c r="D280" s="10" t="n"/>
      <c r="E280" s="7" t="n"/>
      <c r="F280" s="7" t="n"/>
      <c r="G280" s="7" t="n"/>
      <c r="H280" s="7" t="n"/>
      <c r="I280" s="9" t="n"/>
      <c r="J280" s="7" t="n"/>
      <c r="K280" s="7" t="n"/>
      <c r="L280" s="7" t="n"/>
      <c r="M280" s="9" t="n"/>
      <c r="N280" s="9">
        <f>IF($E280="","",IF($S280&lt;&gt;"ÖDEMEDE",0,MIN($R280,IF($J280="Oran",IFERROR($C280*$K280/$L280,0),$M280))))</f>
        <v/>
      </c>
      <c r="O280" s="9" t="n"/>
      <c r="P280" s="9">
        <f>IF($E280="","",SUMIFS('AYLIK KESİNTİLER'!$E$2:$E$5000,'AYLIK KESİNTİLER'!$A$2:$A$5000,$A280,'AYLIK KESİNTİLER'!$B$2:$B$5000,$E280))</f>
        <v/>
      </c>
      <c r="Q280" s="9">
        <f>IF($E280="","",$O280+$P280)</f>
        <v/>
      </c>
      <c r="R280" s="9">
        <f>IF($E280="","",$I280-$Q280)</f>
        <v/>
      </c>
      <c r="S280" s="12">
        <f>IF($E280="","",IF($R280&lt;=0,"KAPANDI",IF(COUNTIFS($A$2:$A$300,$A280,$F$2:$F$300,"&lt;"&amp;$F280,$R$2:$R$300,"&gt;0")=0,"ÖDEMEDE","SIRADA")))</f>
        <v/>
      </c>
      <c r="T280" s="7" t="n"/>
      <c r="U280" s="7" t="n"/>
      <c r="V280">
        <f>IF($E280="","",$A280&amp;"|"&amp;$S280)</f>
        <v/>
      </c>
    </row>
    <row r="281">
      <c r="A281" s="7" t="n"/>
      <c r="B281" s="8">
        <f>IF($A281="","",IFERROR(VLOOKUP($A281,PERSONEL!$A$2:$C$300,2,0),""))</f>
        <v/>
      </c>
      <c r="C281" s="9">
        <f>IF($A281="","",IFERROR(VLOOKUP($A281,PERSONEL!$A$2:$C$300,3,0),""))</f>
        <v/>
      </c>
      <c r="D281" s="10" t="n"/>
      <c r="E281" s="7" t="n"/>
      <c r="F281" s="7" t="n"/>
      <c r="G281" s="7" t="n"/>
      <c r="H281" s="7" t="n"/>
      <c r="I281" s="9" t="n"/>
      <c r="J281" s="7" t="n"/>
      <c r="K281" s="7" t="n"/>
      <c r="L281" s="7" t="n"/>
      <c r="M281" s="9" t="n"/>
      <c r="N281" s="9">
        <f>IF($E281="","",IF($S281&lt;&gt;"ÖDEMEDE",0,MIN($R281,IF($J281="Oran",IFERROR($C281*$K281/$L281,0),$M281))))</f>
        <v/>
      </c>
      <c r="O281" s="9" t="n"/>
      <c r="P281" s="9">
        <f>IF($E281="","",SUMIFS('AYLIK KESİNTİLER'!$E$2:$E$5000,'AYLIK KESİNTİLER'!$A$2:$A$5000,$A281,'AYLIK KESİNTİLER'!$B$2:$B$5000,$E281))</f>
        <v/>
      </c>
      <c r="Q281" s="9">
        <f>IF($E281="","",$O281+$P281)</f>
        <v/>
      </c>
      <c r="R281" s="9">
        <f>IF($E281="","",$I281-$Q281)</f>
        <v/>
      </c>
      <c r="S281" s="12">
        <f>IF($E281="","",IF($R281&lt;=0,"KAPANDI",IF(COUNTIFS($A$2:$A$300,$A281,$F$2:$F$300,"&lt;"&amp;$F281,$R$2:$R$300,"&gt;0")=0,"ÖDEMEDE","SIRADA")))</f>
        <v/>
      </c>
      <c r="T281" s="7" t="n"/>
      <c r="U281" s="7" t="n"/>
      <c r="V281">
        <f>IF($E281="","",$A281&amp;"|"&amp;$S281)</f>
        <v/>
      </c>
    </row>
    <row r="282">
      <c r="A282" s="7" t="n"/>
      <c r="B282" s="8">
        <f>IF($A282="","",IFERROR(VLOOKUP($A282,PERSONEL!$A$2:$C$300,2,0),""))</f>
        <v/>
      </c>
      <c r="C282" s="9">
        <f>IF($A282="","",IFERROR(VLOOKUP($A282,PERSONEL!$A$2:$C$300,3,0),""))</f>
        <v/>
      </c>
      <c r="D282" s="10" t="n"/>
      <c r="E282" s="7" t="n"/>
      <c r="F282" s="7" t="n"/>
      <c r="G282" s="7" t="n"/>
      <c r="H282" s="7" t="n"/>
      <c r="I282" s="9" t="n"/>
      <c r="J282" s="7" t="n"/>
      <c r="K282" s="7" t="n"/>
      <c r="L282" s="7" t="n"/>
      <c r="M282" s="9" t="n"/>
      <c r="N282" s="9">
        <f>IF($E282="","",IF($S282&lt;&gt;"ÖDEMEDE",0,MIN($R282,IF($J282="Oran",IFERROR($C282*$K282/$L282,0),$M282))))</f>
        <v/>
      </c>
      <c r="O282" s="9" t="n"/>
      <c r="P282" s="9">
        <f>IF($E282="","",SUMIFS('AYLIK KESİNTİLER'!$E$2:$E$5000,'AYLIK KESİNTİLER'!$A$2:$A$5000,$A282,'AYLIK KESİNTİLER'!$B$2:$B$5000,$E282))</f>
        <v/>
      </c>
      <c r="Q282" s="9">
        <f>IF($E282="","",$O282+$P282)</f>
        <v/>
      </c>
      <c r="R282" s="9">
        <f>IF($E282="","",$I282-$Q282)</f>
        <v/>
      </c>
      <c r="S282" s="12">
        <f>IF($E282="","",IF($R282&lt;=0,"KAPANDI",IF(COUNTIFS($A$2:$A$300,$A282,$F$2:$F$300,"&lt;"&amp;$F282,$R$2:$R$300,"&gt;0")=0,"ÖDEMEDE","SIRADA")))</f>
        <v/>
      </c>
      <c r="T282" s="7" t="n"/>
      <c r="U282" s="7" t="n"/>
      <c r="V282">
        <f>IF($E282="","",$A282&amp;"|"&amp;$S282)</f>
        <v/>
      </c>
    </row>
    <row r="283">
      <c r="A283" s="7" t="n"/>
      <c r="B283" s="8">
        <f>IF($A283="","",IFERROR(VLOOKUP($A283,PERSONEL!$A$2:$C$300,2,0),""))</f>
        <v/>
      </c>
      <c r="C283" s="9">
        <f>IF($A283="","",IFERROR(VLOOKUP($A283,PERSONEL!$A$2:$C$300,3,0),""))</f>
        <v/>
      </c>
      <c r="D283" s="10" t="n"/>
      <c r="E283" s="7" t="n"/>
      <c r="F283" s="7" t="n"/>
      <c r="G283" s="7" t="n"/>
      <c r="H283" s="7" t="n"/>
      <c r="I283" s="9" t="n"/>
      <c r="J283" s="7" t="n"/>
      <c r="K283" s="7" t="n"/>
      <c r="L283" s="7" t="n"/>
      <c r="M283" s="9" t="n"/>
      <c r="N283" s="9">
        <f>IF($E283="","",IF($S283&lt;&gt;"ÖDEMEDE",0,MIN($R283,IF($J283="Oran",IFERROR($C283*$K283/$L283,0),$M283))))</f>
        <v/>
      </c>
      <c r="O283" s="9" t="n"/>
      <c r="P283" s="9">
        <f>IF($E283="","",SUMIFS('AYLIK KESİNTİLER'!$E$2:$E$5000,'AYLIK KESİNTİLER'!$A$2:$A$5000,$A283,'AYLIK KESİNTİLER'!$B$2:$B$5000,$E283))</f>
        <v/>
      </c>
      <c r="Q283" s="9">
        <f>IF($E283="","",$O283+$P283)</f>
        <v/>
      </c>
      <c r="R283" s="9">
        <f>IF($E283="","",$I283-$Q283)</f>
        <v/>
      </c>
      <c r="S283" s="12">
        <f>IF($E283="","",IF($R283&lt;=0,"KAPANDI",IF(COUNTIFS($A$2:$A$300,$A283,$F$2:$F$300,"&lt;"&amp;$F283,$R$2:$R$300,"&gt;0")=0,"ÖDEMEDE","SIRADA")))</f>
        <v/>
      </c>
      <c r="T283" s="7" t="n"/>
      <c r="U283" s="7" t="n"/>
      <c r="V283">
        <f>IF($E283="","",$A283&amp;"|"&amp;$S283)</f>
        <v/>
      </c>
    </row>
    <row r="284">
      <c r="A284" s="7" t="n"/>
      <c r="B284" s="8">
        <f>IF($A284="","",IFERROR(VLOOKUP($A284,PERSONEL!$A$2:$C$300,2,0),""))</f>
        <v/>
      </c>
      <c r="C284" s="9">
        <f>IF($A284="","",IFERROR(VLOOKUP($A284,PERSONEL!$A$2:$C$300,3,0),""))</f>
        <v/>
      </c>
      <c r="D284" s="10" t="n"/>
      <c r="E284" s="7" t="n"/>
      <c r="F284" s="7" t="n"/>
      <c r="G284" s="7" t="n"/>
      <c r="H284" s="7" t="n"/>
      <c r="I284" s="9" t="n"/>
      <c r="J284" s="7" t="n"/>
      <c r="K284" s="7" t="n"/>
      <c r="L284" s="7" t="n"/>
      <c r="M284" s="9" t="n"/>
      <c r="N284" s="9">
        <f>IF($E284="","",IF($S284&lt;&gt;"ÖDEMEDE",0,MIN($R284,IF($J284="Oran",IFERROR($C284*$K284/$L284,0),$M284))))</f>
        <v/>
      </c>
      <c r="O284" s="9" t="n"/>
      <c r="P284" s="9">
        <f>IF($E284="","",SUMIFS('AYLIK KESİNTİLER'!$E$2:$E$5000,'AYLIK KESİNTİLER'!$A$2:$A$5000,$A284,'AYLIK KESİNTİLER'!$B$2:$B$5000,$E284))</f>
        <v/>
      </c>
      <c r="Q284" s="9">
        <f>IF($E284="","",$O284+$P284)</f>
        <v/>
      </c>
      <c r="R284" s="9">
        <f>IF($E284="","",$I284-$Q284)</f>
        <v/>
      </c>
      <c r="S284" s="12">
        <f>IF($E284="","",IF($R284&lt;=0,"KAPANDI",IF(COUNTIFS($A$2:$A$300,$A284,$F$2:$F$300,"&lt;"&amp;$F284,$R$2:$R$300,"&gt;0")=0,"ÖDEMEDE","SIRADA")))</f>
        <v/>
      </c>
      <c r="T284" s="7" t="n"/>
      <c r="U284" s="7" t="n"/>
      <c r="V284">
        <f>IF($E284="","",$A284&amp;"|"&amp;$S284)</f>
        <v/>
      </c>
    </row>
    <row r="285">
      <c r="A285" s="7" t="n"/>
      <c r="B285" s="8">
        <f>IF($A285="","",IFERROR(VLOOKUP($A285,PERSONEL!$A$2:$C$300,2,0),""))</f>
        <v/>
      </c>
      <c r="C285" s="9">
        <f>IF($A285="","",IFERROR(VLOOKUP($A285,PERSONEL!$A$2:$C$300,3,0),""))</f>
        <v/>
      </c>
      <c r="D285" s="10" t="n"/>
      <c r="E285" s="7" t="n"/>
      <c r="F285" s="7" t="n"/>
      <c r="G285" s="7" t="n"/>
      <c r="H285" s="7" t="n"/>
      <c r="I285" s="9" t="n"/>
      <c r="J285" s="7" t="n"/>
      <c r="K285" s="7" t="n"/>
      <c r="L285" s="7" t="n"/>
      <c r="M285" s="9" t="n"/>
      <c r="N285" s="9">
        <f>IF($E285="","",IF($S285&lt;&gt;"ÖDEMEDE",0,MIN($R285,IF($J285="Oran",IFERROR($C285*$K285/$L285,0),$M285))))</f>
        <v/>
      </c>
      <c r="O285" s="9" t="n"/>
      <c r="P285" s="9">
        <f>IF($E285="","",SUMIFS('AYLIK KESİNTİLER'!$E$2:$E$5000,'AYLIK KESİNTİLER'!$A$2:$A$5000,$A285,'AYLIK KESİNTİLER'!$B$2:$B$5000,$E285))</f>
        <v/>
      </c>
      <c r="Q285" s="9">
        <f>IF($E285="","",$O285+$P285)</f>
        <v/>
      </c>
      <c r="R285" s="9">
        <f>IF($E285="","",$I285-$Q285)</f>
        <v/>
      </c>
      <c r="S285" s="12">
        <f>IF($E285="","",IF($R285&lt;=0,"KAPANDI",IF(COUNTIFS($A$2:$A$300,$A285,$F$2:$F$300,"&lt;"&amp;$F285,$R$2:$R$300,"&gt;0")=0,"ÖDEMEDE","SIRADA")))</f>
        <v/>
      </c>
      <c r="T285" s="7" t="n"/>
      <c r="U285" s="7" t="n"/>
      <c r="V285">
        <f>IF($E285="","",$A285&amp;"|"&amp;$S285)</f>
        <v/>
      </c>
    </row>
    <row r="286">
      <c r="A286" s="7" t="n"/>
      <c r="B286" s="8">
        <f>IF($A286="","",IFERROR(VLOOKUP($A286,PERSONEL!$A$2:$C$300,2,0),""))</f>
        <v/>
      </c>
      <c r="C286" s="9">
        <f>IF($A286="","",IFERROR(VLOOKUP($A286,PERSONEL!$A$2:$C$300,3,0),""))</f>
        <v/>
      </c>
      <c r="D286" s="10" t="n"/>
      <c r="E286" s="7" t="n"/>
      <c r="F286" s="7" t="n"/>
      <c r="G286" s="7" t="n"/>
      <c r="H286" s="7" t="n"/>
      <c r="I286" s="9" t="n"/>
      <c r="J286" s="7" t="n"/>
      <c r="K286" s="7" t="n"/>
      <c r="L286" s="7" t="n"/>
      <c r="M286" s="9" t="n"/>
      <c r="N286" s="9">
        <f>IF($E286="","",IF($S286&lt;&gt;"ÖDEMEDE",0,MIN($R286,IF($J286="Oran",IFERROR($C286*$K286/$L286,0),$M286))))</f>
        <v/>
      </c>
      <c r="O286" s="9" t="n"/>
      <c r="P286" s="9">
        <f>IF($E286="","",SUMIFS('AYLIK KESİNTİLER'!$E$2:$E$5000,'AYLIK KESİNTİLER'!$A$2:$A$5000,$A286,'AYLIK KESİNTİLER'!$B$2:$B$5000,$E286))</f>
        <v/>
      </c>
      <c r="Q286" s="9">
        <f>IF($E286="","",$O286+$P286)</f>
        <v/>
      </c>
      <c r="R286" s="9">
        <f>IF($E286="","",$I286-$Q286)</f>
        <v/>
      </c>
      <c r="S286" s="12">
        <f>IF($E286="","",IF($R286&lt;=0,"KAPANDI",IF(COUNTIFS($A$2:$A$300,$A286,$F$2:$F$300,"&lt;"&amp;$F286,$R$2:$R$300,"&gt;0")=0,"ÖDEMEDE","SIRADA")))</f>
        <v/>
      </c>
      <c r="T286" s="7" t="n"/>
      <c r="U286" s="7" t="n"/>
      <c r="V286">
        <f>IF($E286="","",$A286&amp;"|"&amp;$S286)</f>
        <v/>
      </c>
    </row>
    <row r="287">
      <c r="A287" s="7" t="n"/>
      <c r="B287" s="8">
        <f>IF($A287="","",IFERROR(VLOOKUP($A287,PERSONEL!$A$2:$C$300,2,0),""))</f>
        <v/>
      </c>
      <c r="C287" s="9">
        <f>IF($A287="","",IFERROR(VLOOKUP($A287,PERSONEL!$A$2:$C$300,3,0),""))</f>
        <v/>
      </c>
      <c r="D287" s="10" t="n"/>
      <c r="E287" s="7" t="n"/>
      <c r="F287" s="7" t="n"/>
      <c r="G287" s="7" t="n"/>
      <c r="H287" s="7" t="n"/>
      <c r="I287" s="9" t="n"/>
      <c r="J287" s="7" t="n"/>
      <c r="K287" s="7" t="n"/>
      <c r="L287" s="7" t="n"/>
      <c r="M287" s="9" t="n"/>
      <c r="N287" s="9">
        <f>IF($E287="","",IF($S287&lt;&gt;"ÖDEMEDE",0,MIN($R287,IF($J287="Oran",IFERROR($C287*$K287/$L287,0),$M287))))</f>
        <v/>
      </c>
      <c r="O287" s="9" t="n"/>
      <c r="P287" s="9">
        <f>IF($E287="","",SUMIFS('AYLIK KESİNTİLER'!$E$2:$E$5000,'AYLIK KESİNTİLER'!$A$2:$A$5000,$A287,'AYLIK KESİNTİLER'!$B$2:$B$5000,$E287))</f>
        <v/>
      </c>
      <c r="Q287" s="9">
        <f>IF($E287="","",$O287+$P287)</f>
        <v/>
      </c>
      <c r="R287" s="9">
        <f>IF($E287="","",$I287-$Q287)</f>
        <v/>
      </c>
      <c r="S287" s="12">
        <f>IF($E287="","",IF($R287&lt;=0,"KAPANDI",IF(COUNTIFS($A$2:$A$300,$A287,$F$2:$F$300,"&lt;"&amp;$F287,$R$2:$R$300,"&gt;0")=0,"ÖDEMEDE","SIRADA")))</f>
        <v/>
      </c>
      <c r="T287" s="7" t="n"/>
      <c r="U287" s="7" t="n"/>
      <c r="V287">
        <f>IF($E287="","",$A287&amp;"|"&amp;$S287)</f>
        <v/>
      </c>
    </row>
    <row r="288">
      <c r="A288" s="7" t="n"/>
      <c r="B288" s="8">
        <f>IF($A288="","",IFERROR(VLOOKUP($A288,PERSONEL!$A$2:$C$300,2,0),""))</f>
        <v/>
      </c>
      <c r="C288" s="9">
        <f>IF($A288="","",IFERROR(VLOOKUP($A288,PERSONEL!$A$2:$C$300,3,0),""))</f>
        <v/>
      </c>
      <c r="D288" s="10" t="n"/>
      <c r="E288" s="7" t="n"/>
      <c r="F288" s="7" t="n"/>
      <c r="G288" s="7" t="n"/>
      <c r="H288" s="7" t="n"/>
      <c r="I288" s="9" t="n"/>
      <c r="J288" s="7" t="n"/>
      <c r="K288" s="7" t="n"/>
      <c r="L288" s="7" t="n"/>
      <c r="M288" s="9" t="n"/>
      <c r="N288" s="9">
        <f>IF($E288="","",IF($S288&lt;&gt;"ÖDEMEDE",0,MIN($R288,IF($J288="Oran",IFERROR($C288*$K288/$L288,0),$M288))))</f>
        <v/>
      </c>
      <c r="O288" s="9" t="n"/>
      <c r="P288" s="9">
        <f>IF($E288="","",SUMIFS('AYLIK KESİNTİLER'!$E$2:$E$5000,'AYLIK KESİNTİLER'!$A$2:$A$5000,$A288,'AYLIK KESİNTİLER'!$B$2:$B$5000,$E288))</f>
        <v/>
      </c>
      <c r="Q288" s="9">
        <f>IF($E288="","",$O288+$P288)</f>
        <v/>
      </c>
      <c r="R288" s="9">
        <f>IF($E288="","",$I288-$Q288)</f>
        <v/>
      </c>
      <c r="S288" s="12">
        <f>IF($E288="","",IF($R288&lt;=0,"KAPANDI",IF(COUNTIFS($A$2:$A$300,$A288,$F$2:$F$300,"&lt;"&amp;$F288,$R$2:$R$300,"&gt;0")=0,"ÖDEMEDE","SIRADA")))</f>
        <v/>
      </c>
      <c r="T288" s="7" t="n"/>
      <c r="U288" s="7" t="n"/>
      <c r="V288">
        <f>IF($E288="","",$A288&amp;"|"&amp;$S288)</f>
        <v/>
      </c>
    </row>
    <row r="289">
      <c r="A289" s="7" t="n"/>
      <c r="B289" s="8">
        <f>IF($A289="","",IFERROR(VLOOKUP($A289,PERSONEL!$A$2:$C$300,2,0),""))</f>
        <v/>
      </c>
      <c r="C289" s="9">
        <f>IF($A289="","",IFERROR(VLOOKUP($A289,PERSONEL!$A$2:$C$300,3,0),""))</f>
        <v/>
      </c>
      <c r="D289" s="10" t="n"/>
      <c r="E289" s="7" t="n"/>
      <c r="F289" s="7" t="n"/>
      <c r="G289" s="7" t="n"/>
      <c r="H289" s="7" t="n"/>
      <c r="I289" s="9" t="n"/>
      <c r="J289" s="7" t="n"/>
      <c r="K289" s="7" t="n"/>
      <c r="L289" s="7" t="n"/>
      <c r="M289" s="9" t="n"/>
      <c r="N289" s="9">
        <f>IF($E289="","",IF($S289&lt;&gt;"ÖDEMEDE",0,MIN($R289,IF($J289="Oran",IFERROR($C289*$K289/$L289,0),$M289))))</f>
        <v/>
      </c>
      <c r="O289" s="9" t="n"/>
      <c r="P289" s="9">
        <f>IF($E289="","",SUMIFS('AYLIK KESİNTİLER'!$E$2:$E$5000,'AYLIK KESİNTİLER'!$A$2:$A$5000,$A289,'AYLIK KESİNTİLER'!$B$2:$B$5000,$E289))</f>
        <v/>
      </c>
      <c r="Q289" s="9">
        <f>IF($E289="","",$O289+$P289)</f>
        <v/>
      </c>
      <c r="R289" s="9">
        <f>IF($E289="","",$I289-$Q289)</f>
        <v/>
      </c>
      <c r="S289" s="12">
        <f>IF($E289="","",IF($R289&lt;=0,"KAPANDI",IF(COUNTIFS($A$2:$A$300,$A289,$F$2:$F$300,"&lt;"&amp;$F289,$R$2:$R$300,"&gt;0")=0,"ÖDEMEDE","SIRADA")))</f>
        <v/>
      </c>
      <c r="T289" s="7" t="n"/>
      <c r="U289" s="7" t="n"/>
      <c r="V289">
        <f>IF($E289="","",$A289&amp;"|"&amp;$S289)</f>
        <v/>
      </c>
    </row>
    <row r="290">
      <c r="A290" s="7" t="n"/>
      <c r="B290" s="8">
        <f>IF($A290="","",IFERROR(VLOOKUP($A290,PERSONEL!$A$2:$C$300,2,0),""))</f>
        <v/>
      </c>
      <c r="C290" s="9">
        <f>IF($A290="","",IFERROR(VLOOKUP($A290,PERSONEL!$A$2:$C$300,3,0),""))</f>
        <v/>
      </c>
      <c r="D290" s="10" t="n"/>
      <c r="E290" s="7" t="n"/>
      <c r="F290" s="7" t="n"/>
      <c r="G290" s="7" t="n"/>
      <c r="H290" s="7" t="n"/>
      <c r="I290" s="9" t="n"/>
      <c r="J290" s="7" t="n"/>
      <c r="K290" s="7" t="n"/>
      <c r="L290" s="7" t="n"/>
      <c r="M290" s="9" t="n"/>
      <c r="N290" s="9">
        <f>IF($E290="","",IF($S290&lt;&gt;"ÖDEMEDE",0,MIN($R290,IF($J290="Oran",IFERROR($C290*$K290/$L290,0),$M290))))</f>
        <v/>
      </c>
      <c r="O290" s="9" t="n"/>
      <c r="P290" s="9">
        <f>IF($E290="","",SUMIFS('AYLIK KESİNTİLER'!$E$2:$E$5000,'AYLIK KESİNTİLER'!$A$2:$A$5000,$A290,'AYLIK KESİNTİLER'!$B$2:$B$5000,$E290))</f>
        <v/>
      </c>
      <c r="Q290" s="9">
        <f>IF($E290="","",$O290+$P290)</f>
        <v/>
      </c>
      <c r="R290" s="9">
        <f>IF($E290="","",$I290-$Q290)</f>
        <v/>
      </c>
      <c r="S290" s="12">
        <f>IF($E290="","",IF($R290&lt;=0,"KAPANDI",IF(COUNTIFS($A$2:$A$300,$A290,$F$2:$F$300,"&lt;"&amp;$F290,$R$2:$R$300,"&gt;0")=0,"ÖDEMEDE","SIRADA")))</f>
        <v/>
      </c>
      <c r="T290" s="7" t="n"/>
      <c r="U290" s="7" t="n"/>
      <c r="V290">
        <f>IF($E290="","",$A290&amp;"|"&amp;$S290)</f>
        <v/>
      </c>
    </row>
    <row r="291">
      <c r="A291" s="7" t="n"/>
      <c r="B291" s="8">
        <f>IF($A291="","",IFERROR(VLOOKUP($A291,PERSONEL!$A$2:$C$300,2,0),""))</f>
        <v/>
      </c>
      <c r="C291" s="9">
        <f>IF($A291="","",IFERROR(VLOOKUP($A291,PERSONEL!$A$2:$C$300,3,0),""))</f>
        <v/>
      </c>
      <c r="D291" s="10" t="n"/>
      <c r="E291" s="7" t="n"/>
      <c r="F291" s="7" t="n"/>
      <c r="G291" s="7" t="n"/>
      <c r="H291" s="7" t="n"/>
      <c r="I291" s="9" t="n"/>
      <c r="J291" s="7" t="n"/>
      <c r="K291" s="7" t="n"/>
      <c r="L291" s="7" t="n"/>
      <c r="M291" s="9" t="n"/>
      <c r="N291" s="9">
        <f>IF($E291="","",IF($S291&lt;&gt;"ÖDEMEDE",0,MIN($R291,IF($J291="Oran",IFERROR($C291*$K291/$L291,0),$M291))))</f>
        <v/>
      </c>
      <c r="O291" s="9" t="n"/>
      <c r="P291" s="9">
        <f>IF($E291="","",SUMIFS('AYLIK KESİNTİLER'!$E$2:$E$5000,'AYLIK KESİNTİLER'!$A$2:$A$5000,$A291,'AYLIK KESİNTİLER'!$B$2:$B$5000,$E291))</f>
        <v/>
      </c>
      <c r="Q291" s="9">
        <f>IF($E291="","",$O291+$P291)</f>
        <v/>
      </c>
      <c r="R291" s="9">
        <f>IF($E291="","",$I291-$Q291)</f>
        <v/>
      </c>
      <c r="S291" s="12">
        <f>IF($E291="","",IF($R291&lt;=0,"KAPANDI",IF(COUNTIFS($A$2:$A$300,$A291,$F$2:$F$300,"&lt;"&amp;$F291,$R$2:$R$300,"&gt;0")=0,"ÖDEMEDE","SIRADA")))</f>
        <v/>
      </c>
      <c r="T291" s="7" t="n"/>
      <c r="U291" s="7" t="n"/>
      <c r="V291">
        <f>IF($E291="","",$A291&amp;"|"&amp;$S291)</f>
        <v/>
      </c>
    </row>
    <row r="292">
      <c r="A292" s="7" t="n"/>
      <c r="B292" s="8">
        <f>IF($A292="","",IFERROR(VLOOKUP($A292,PERSONEL!$A$2:$C$300,2,0),""))</f>
        <v/>
      </c>
      <c r="C292" s="9">
        <f>IF($A292="","",IFERROR(VLOOKUP($A292,PERSONEL!$A$2:$C$300,3,0),""))</f>
        <v/>
      </c>
      <c r="D292" s="10" t="n"/>
      <c r="E292" s="7" t="n"/>
      <c r="F292" s="7" t="n"/>
      <c r="G292" s="7" t="n"/>
      <c r="H292" s="7" t="n"/>
      <c r="I292" s="9" t="n"/>
      <c r="J292" s="7" t="n"/>
      <c r="K292" s="7" t="n"/>
      <c r="L292" s="7" t="n"/>
      <c r="M292" s="9" t="n"/>
      <c r="N292" s="9">
        <f>IF($E292="","",IF($S292&lt;&gt;"ÖDEMEDE",0,MIN($R292,IF($J292="Oran",IFERROR($C292*$K292/$L292,0),$M292))))</f>
        <v/>
      </c>
      <c r="O292" s="9" t="n"/>
      <c r="P292" s="9">
        <f>IF($E292="","",SUMIFS('AYLIK KESİNTİLER'!$E$2:$E$5000,'AYLIK KESİNTİLER'!$A$2:$A$5000,$A292,'AYLIK KESİNTİLER'!$B$2:$B$5000,$E292))</f>
        <v/>
      </c>
      <c r="Q292" s="9">
        <f>IF($E292="","",$O292+$P292)</f>
        <v/>
      </c>
      <c r="R292" s="9">
        <f>IF($E292="","",$I292-$Q292)</f>
        <v/>
      </c>
      <c r="S292" s="12">
        <f>IF($E292="","",IF($R292&lt;=0,"KAPANDI",IF(COUNTIFS($A$2:$A$300,$A292,$F$2:$F$300,"&lt;"&amp;$F292,$R$2:$R$300,"&gt;0")=0,"ÖDEMEDE","SIRADA")))</f>
        <v/>
      </c>
      <c r="T292" s="7" t="n"/>
      <c r="U292" s="7" t="n"/>
      <c r="V292">
        <f>IF($E292="","",$A292&amp;"|"&amp;$S292)</f>
        <v/>
      </c>
    </row>
    <row r="293">
      <c r="A293" s="7" t="n"/>
      <c r="B293" s="8">
        <f>IF($A293="","",IFERROR(VLOOKUP($A293,PERSONEL!$A$2:$C$300,2,0),""))</f>
        <v/>
      </c>
      <c r="C293" s="9">
        <f>IF($A293="","",IFERROR(VLOOKUP($A293,PERSONEL!$A$2:$C$300,3,0),""))</f>
        <v/>
      </c>
      <c r="D293" s="10" t="n"/>
      <c r="E293" s="7" t="n"/>
      <c r="F293" s="7" t="n"/>
      <c r="G293" s="7" t="n"/>
      <c r="H293" s="7" t="n"/>
      <c r="I293" s="9" t="n"/>
      <c r="J293" s="7" t="n"/>
      <c r="K293" s="7" t="n"/>
      <c r="L293" s="7" t="n"/>
      <c r="M293" s="9" t="n"/>
      <c r="N293" s="9">
        <f>IF($E293="","",IF($S293&lt;&gt;"ÖDEMEDE",0,MIN($R293,IF($J293="Oran",IFERROR($C293*$K293/$L293,0),$M293))))</f>
        <v/>
      </c>
      <c r="O293" s="9" t="n"/>
      <c r="P293" s="9">
        <f>IF($E293="","",SUMIFS('AYLIK KESİNTİLER'!$E$2:$E$5000,'AYLIK KESİNTİLER'!$A$2:$A$5000,$A293,'AYLIK KESİNTİLER'!$B$2:$B$5000,$E293))</f>
        <v/>
      </c>
      <c r="Q293" s="9">
        <f>IF($E293="","",$O293+$P293)</f>
        <v/>
      </c>
      <c r="R293" s="9">
        <f>IF($E293="","",$I293-$Q293)</f>
        <v/>
      </c>
      <c r="S293" s="12">
        <f>IF($E293="","",IF($R293&lt;=0,"KAPANDI",IF(COUNTIFS($A$2:$A$300,$A293,$F$2:$F$300,"&lt;"&amp;$F293,$R$2:$R$300,"&gt;0")=0,"ÖDEMEDE","SIRADA")))</f>
        <v/>
      </c>
      <c r="T293" s="7" t="n"/>
      <c r="U293" s="7" t="n"/>
      <c r="V293">
        <f>IF($E293="","",$A293&amp;"|"&amp;$S293)</f>
        <v/>
      </c>
    </row>
    <row r="294">
      <c r="A294" s="7" t="n"/>
      <c r="B294" s="8">
        <f>IF($A294="","",IFERROR(VLOOKUP($A294,PERSONEL!$A$2:$C$300,2,0),""))</f>
        <v/>
      </c>
      <c r="C294" s="9">
        <f>IF($A294="","",IFERROR(VLOOKUP($A294,PERSONEL!$A$2:$C$300,3,0),""))</f>
        <v/>
      </c>
      <c r="D294" s="10" t="n"/>
      <c r="E294" s="7" t="n"/>
      <c r="F294" s="7" t="n"/>
      <c r="G294" s="7" t="n"/>
      <c r="H294" s="7" t="n"/>
      <c r="I294" s="9" t="n"/>
      <c r="J294" s="7" t="n"/>
      <c r="K294" s="7" t="n"/>
      <c r="L294" s="7" t="n"/>
      <c r="M294" s="9" t="n"/>
      <c r="N294" s="9">
        <f>IF($E294="","",IF($S294&lt;&gt;"ÖDEMEDE",0,MIN($R294,IF($J294="Oran",IFERROR($C294*$K294/$L294,0),$M294))))</f>
        <v/>
      </c>
      <c r="O294" s="9" t="n"/>
      <c r="P294" s="9">
        <f>IF($E294="","",SUMIFS('AYLIK KESİNTİLER'!$E$2:$E$5000,'AYLIK KESİNTİLER'!$A$2:$A$5000,$A294,'AYLIK KESİNTİLER'!$B$2:$B$5000,$E294))</f>
        <v/>
      </c>
      <c r="Q294" s="9">
        <f>IF($E294="","",$O294+$P294)</f>
        <v/>
      </c>
      <c r="R294" s="9">
        <f>IF($E294="","",$I294-$Q294)</f>
        <v/>
      </c>
      <c r="S294" s="12">
        <f>IF($E294="","",IF($R294&lt;=0,"KAPANDI",IF(COUNTIFS($A$2:$A$300,$A294,$F$2:$F$300,"&lt;"&amp;$F294,$R$2:$R$300,"&gt;0")=0,"ÖDEMEDE","SIRADA")))</f>
        <v/>
      </c>
      <c r="T294" s="7" t="n"/>
      <c r="U294" s="7" t="n"/>
      <c r="V294">
        <f>IF($E294="","",$A294&amp;"|"&amp;$S294)</f>
        <v/>
      </c>
    </row>
    <row r="295">
      <c r="A295" s="7" t="n"/>
      <c r="B295" s="8">
        <f>IF($A295="","",IFERROR(VLOOKUP($A295,PERSONEL!$A$2:$C$300,2,0),""))</f>
        <v/>
      </c>
      <c r="C295" s="9">
        <f>IF($A295="","",IFERROR(VLOOKUP($A295,PERSONEL!$A$2:$C$300,3,0),""))</f>
        <v/>
      </c>
      <c r="D295" s="10" t="n"/>
      <c r="E295" s="7" t="n"/>
      <c r="F295" s="7" t="n"/>
      <c r="G295" s="7" t="n"/>
      <c r="H295" s="7" t="n"/>
      <c r="I295" s="9" t="n"/>
      <c r="J295" s="7" t="n"/>
      <c r="K295" s="7" t="n"/>
      <c r="L295" s="7" t="n"/>
      <c r="M295" s="9" t="n"/>
      <c r="N295" s="9">
        <f>IF($E295="","",IF($S295&lt;&gt;"ÖDEMEDE",0,MIN($R295,IF($J295="Oran",IFERROR($C295*$K295/$L295,0),$M295))))</f>
        <v/>
      </c>
      <c r="O295" s="9" t="n"/>
      <c r="P295" s="9">
        <f>IF($E295="","",SUMIFS('AYLIK KESİNTİLER'!$E$2:$E$5000,'AYLIK KESİNTİLER'!$A$2:$A$5000,$A295,'AYLIK KESİNTİLER'!$B$2:$B$5000,$E295))</f>
        <v/>
      </c>
      <c r="Q295" s="9">
        <f>IF($E295="","",$O295+$P295)</f>
        <v/>
      </c>
      <c r="R295" s="9">
        <f>IF($E295="","",$I295-$Q295)</f>
        <v/>
      </c>
      <c r="S295" s="12">
        <f>IF($E295="","",IF($R295&lt;=0,"KAPANDI",IF(COUNTIFS($A$2:$A$300,$A295,$F$2:$F$300,"&lt;"&amp;$F295,$R$2:$R$300,"&gt;0")=0,"ÖDEMEDE","SIRADA")))</f>
        <v/>
      </c>
      <c r="T295" s="7" t="n"/>
      <c r="U295" s="7" t="n"/>
      <c r="V295">
        <f>IF($E295="","",$A295&amp;"|"&amp;$S295)</f>
        <v/>
      </c>
    </row>
    <row r="296">
      <c r="A296" s="7" t="n"/>
      <c r="B296" s="8">
        <f>IF($A296="","",IFERROR(VLOOKUP($A296,PERSONEL!$A$2:$C$300,2,0),""))</f>
        <v/>
      </c>
      <c r="C296" s="9">
        <f>IF($A296="","",IFERROR(VLOOKUP($A296,PERSONEL!$A$2:$C$300,3,0),""))</f>
        <v/>
      </c>
      <c r="D296" s="10" t="n"/>
      <c r="E296" s="7" t="n"/>
      <c r="F296" s="7" t="n"/>
      <c r="G296" s="7" t="n"/>
      <c r="H296" s="7" t="n"/>
      <c r="I296" s="9" t="n"/>
      <c r="J296" s="7" t="n"/>
      <c r="K296" s="7" t="n"/>
      <c r="L296" s="7" t="n"/>
      <c r="M296" s="9" t="n"/>
      <c r="N296" s="9">
        <f>IF($E296="","",IF($S296&lt;&gt;"ÖDEMEDE",0,MIN($R296,IF($J296="Oran",IFERROR($C296*$K296/$L296,0),$M296))))</f>
        <v/>
      </c>
      <c r="O296" s="9" t="n"/>
      <c r="P296" s="9">
        <f>IF($E296="","",SUMIFS('AYLIK KESİNTİLER'!$E$2:$E$5000,'AYLIK KESİNTİLER'!$A$2:$A$5000,$A296,'AYLIK KESİNTİLER'!$B$2:$B$5000,$E296))</f>
        <v/>
      </c>
      <c r="Q296" s="9">
        <f>IF($E296="","",$O296+$P296)</f>
        <v/>
      </c>
      <c r="R296" s="9">
        <f>IF($E296="","",$I296-$Q296)</f>
        <v/>
      </c>
      <c r="S296" s="12">
        <f>IF($E296="","",IF($R296&lt;=0,"KAPANDI",IF(COUNTIFS($A$2:$A$300,$A296,$F$2:$F$300,"&lt;"&amp;$F296,$R$2:$R$300,"&gt;0")=0,"ÖDEMEDE","SIRADA")))</f>
        <v/>
      </c>
      <c r="T296" s="7" t="n"/>
      <c r="U296" s="7" t="n"/>
      <c r="V296">
        <f>IF($E296="","",$A296&amp;"|"&amp;$S296)</f>
        <v/>
      </c>
    </row>
    <row r="297">
      <c r="A297" s="7" t="n"/>
      <c r="B297" s="8">
        <f>IF($A297="","",IFERROR(VLOOKUP($A297,PERSONEL!$A$2:$C$300,2,0),""))</f>
        <v/>
      </c>
      <c r="C297" s="9">
        <f>IF($A297="","",IFERROR(VLOOKUP($A297,PERSONEL!$A$2:$C$300,3,0),""))</f>
        <v/>
      </c>
      <c r="D297" s="10" t="n"/>
      <c r="E297" s="7" t="n"/>
      <c r="F297" s="7" t="n"/>
      <c r="G297" s="7" t="n"/>
      <c r="H297" s="7" t="n"/>
      <c r="I297" s="9" t="n"/>
      <c r="J297" s="7" t="n"/>
      <c r="K297" s="7" t="n"/>
      <c r="L297" s="7" t="n"/>
      <c r="M297" s="9" t="n"/>
      <c r="N297" s="9">
        <f>IF($E297="","",IF($S297&lt;&gt;"ÖDEMEDE",0,MIN($R297,IF($J297="Oran",IFERROR($C297*$K297/$L297,0),$M297))))</f>
        <v/>
      </c>
      <c r="O297" s="9" t="n"/>
      <c r="P297" s="9">
        <f>IF($E297="","",SUMIFS('AYLIK KESİNTİLER'!$E$2:$E$5000,'AYLIK KESİNTİLER'!$A$2:$A$5000,$A297,'AYLIK KESİNTİLER'!$B$2:$B$5000,$E297))</f>
        <v/>
      </c>
      <c r="Q297" s="9">
        <f>IF($E297="","",$O297+$P297)</f>
        <v/>
      </c>
      <c r="R297" s="9">
        <f>IF($E297="","",$I297-$Q297)</f>
        <v/>
      </c>
      <c r="S297" s="12">
        <f>IF($E297="","",IF($R297&lt;=0,"KAPANDI",IF(COUNTIFS($A$2:$A$300,$A297,$F$2:$F$300,"&lt;"&amp;$F297,$R$2:$R$300,"&gt;0")=0,"ÖDEMEDE","SIRADA")))</f>
        <v/>
      </c>
      <c r="T297" s="7" t="n"/>
      <c r="U297" s="7" t="n"/>
      <c r="V297">
        <f>IF($E297="","",$A297&amp;"|"&amp;$S297)</f>
        <v/>
      </c>
    </row>
    <row r="298">
      <c r="A298" s="7" t="n"/>
      <c r="B298" s="8">
        <f>IF($A298="","",IFERROR(VLOOKUP($A298,PERSONEL!$A$2:$C$300,2,0),""))</f>
        <v/>
      </c>
      <c r="C298" s="9">
        <f>IF($A298="","",IFERROR(VLOOKUP($A298,PERSONEL!$A$2:$C$300,3,0),""))</f>
        <v/>
      </c>
      <c r="D298" s="10" t="n"/>
      <c r="E298" s="7" t="n"/>
      <c r="F298" s="7" t="n"/>
      <c r="G298" s="7" t="n"/>
      <c r="H298" s="7" t="n"/>
      <c r="I298" s="9" t="n"/>
      <c r="J298" s="7" t="n"/>
      <c r="K298" s="7" t="n"/>
      <c r="L298" s="7" t="n"/>
      <c r="M298" s="9" t="n"/>
      <c r="N298" s="9">
        <f>IF($E298="","",IF($S298&lt;&gt;"ÖDEMEDE",0,MIN($R298,IF($J298="Oran",IFERROR($C298*$K298/$L298,0),$M298))))</f>
        <v/>
      </c>
      <c r="O298" s="9" t="n"/>
      <c r="P298" s="9">
        <f>IF($E298="","",SUMIFS('AYLIK KESİNTİLER'!$E$2:$E$5000,'AYLIK KESİNTİLER'!$A$2:$A$5000,$A298,'AYLIK KESİNTİLER'!$B$2:$B$5000,$E298))</f>
        <v/>
      </c>
      <c r="Q298" s="9">
        <f>IF($E298="","",$O298+$P298)</f>
        <v/>
      </c>
      <c r="R298" s="9">
        <f>IF($E298="","",$I298-$Q298)</f>
        <v/>
      </c>
      <c r="S298" s="12">
        <f>IF($E298="","",IF($R298&lt;=0,"KAPANDI",IF(COUNTIFS($A$2:$A$300,$A298,$F$2:$F$300,"&lt;"&amp;$F298,$R$2:$R$300,"&gt;0")=0,"ÖDEMEDE","SIRADA")))</f>
        <v/>
      </c>
      <c r="T298" s="7" t="n"/>
      <c r="U298" s="7" t="n"/>
      <c r="V298">
        <f>IF($E298="","",$A298&amp;"|"&amp;$S298)</f>
        <v/>
      </c>
    </row>
    <row r="299">
      <c r="A299" s="7" t="n"/>
      <c r="B299" s="8">
        <f>IF($A299="","",IFERROR(VLOOKUP($A299,PERSONEL!$A$2:$C$300,2,0),""))</f>
        <v/>
      </c>
      <c r="C299" s="9">
        <f>IF($A299="","",IFERROR(VLOOKUP($A299,PERSONEL!$A$2:$C$300,3,0),""))</f>
        <v/>
      </c>
      <c r="D299" s="10" t="n"/>
      <c r="E299" s="7" t="n"/>
      <c r="F299" s="7" t="n"/>
      <c r="G299" s="7" t="n"/>
      <c r="H299" s="7" t="n"/>
      <c r="I299" s="9" t="n"/>
      <c r="J299" s="7" t="n"/>
      <c r="K299" s="7" t="n"/>
      <c r="L299" s="7" t="n"/>
      <c r="M299" s="9" t="n"/>
      <c r="N299" s="9">
        <f>IF($E299="","",IF($S299&lt;&gt;"ÖDEMEDE",0,MIN($R299,IF($J299="Oran",IFERROR($C299*$K299/$L299,0),$M299))))</f>
        <v/>
      </c>
      <c r="O299" s="9" t="n"/>
      <c r="P299" s="9">
        <f>IF($E299="","",SUMIFS('AYLIK KESİNTİLER'!$E$2:$E$5000,'AYLIK KESİNTİLER'!$A$2:$A$5000,$A299,'AYLIK KESİNTİLER'!$B$2:$B$5000,$E299))</f>
        <v/>
      </c>
      <c r="Q299" s="9">
        <f>IF($E299="","",$O299+$P299)</f>
        <v/>
      </c>
      <c r="R299" s="9">
        <f>IF($E299="","",$I299-$Q299)</f>
        <v/>
      </c>
      <c r="S299" s="12">
        <f>IF($E299="","",IF($R299&lt;=0,"KAPANDI",IF(COUNTIFS($A$2:$A$300,$A299,$F$2:$F$300,"&lt;"&amp;$F299,$R$2:$R$300,"&gt;0")=0,"ÖDEMEDE","SIRADA")))</f>
        <v/>
      </c>
      <c r="T299" s="7" t="n"/>
      <c r="U299" s="7" t="n"/>
      <c r="V299">
        <f>IF($E299="","",$A299&amp;"|"&amp;$S299)</f>
        <v/>
      </c>
    </row>
    <row r="300">
      <c r="A300" s="7" t="n"/>
      <c r="B300" s="8">
        <f>IF($A300="","",IFERROR(VLOOKUP($A300,PERSONEL!$A$2:$C$300,2,0),""))</f>
        <v/>
      </c>
      <c r="C300" s="9">
        <f>IF($A300="","",IFERROR(VLOOKUP($A300,PERSONEL!$A$2:$C$300,3,0),""))</f>
        <v/>
      </c>
      <c r="D300" s="10" t="n"/>
      <c r="E300" s="7" t="n"/>
      <c r="F300" s="7" t="n"/>
      <c r="G300" s="7" t="n"/>
      <c r="H300" s="7" t="n"/>
      <c r="I300" s="9" t="n"/>
      <c r="J300" s="7" t="n"/>
      <c r="K300" s="7" t="n"/>
      <c r="L300" s="7" t="n"/>
      <c r="M300" s="9" t="n"/>
      <c r="N300" s="9">
        <f>IF($E300="","",IF($S300&lt;&gt;"ÖDEMEDE",0,MIN($R300,IF($J300="Oran",IFERROR($C300*$K300/$L300,0),$M300))))</f>
        <v/>
      </c>
      <c r="O300" s="9" t="n"/>
      <c r="P300" s="9">
        <f>IF($E300="","",SUMIFS('AYLIK KESİNTİLER'!$E$2:$E$5000,'AYLIK KESİNTİLER'!$A$2:$A$5000,$A300,'AYLIK KESİNTİLER'!$B$2:$B$5000,$E300))</f>
        <v/>
      </c>
      <c r="Q300" s="9">
        <f>IF($E300="","",$O300+$P300)</f>
        <v/>
      </c>
      <c r="R300" s="9">
        <f>IF($E300="","",$I300-$Q300)</f>
        <v/>
      </c>
      <c r="S300" s="12">
        <f>IF($E300="","",IF($R300&lt;=0,"KAPANDI",IF(COUNTIFS($A$2:$A$300,$A300,$F$2:$F$300,"&lt;"&amp;$F300,$R$2:$R$300,"&gt;0")=0,"ÖDEMEDE","SIRADA")))</f>
        <v/>
      </c>
      <c r="T300" s="7" t="n"/>
      <c r="U300" s="7" t="n"/>
      <c r="V300">
        <f>IF($E300="","",$A300&amp;"|"&amp;$S300)</f>
        <v/>
      </c>
    </row>
  </sheetData>
  <autoFilter ref="A1:U300"/>
  <conditionalFormatting sqref="S2:S300">
    <cfRule type="cellIs" priority="1" operator="equal" dxfId="0">
      <formula>"ÖDEMEDE"</formula>
    </cfRule>
    <cfRule type="cellIs" priority="2" operator="equal" dxfId="1">
      <formula>"SIRADA"</formula>
    </cfRule>
    <cfRule type="cellIs" priority="3" operator="equal" dxfId="2">
      <formula>"KAPANDI"</formula>
    </cfRule>
  </conditionalFormatting>
  <dataValidations count="3">
    <dataValidation sqref="A2:A300" showDropDown="0" showInputMessage="0" showErrorMessage="0" allowBlank="1" error="PERSONEL sayfasında kayıtlı bir ad seçin (veya önce oraya ekleyin)." type="list" errorStyle="warning">
      <formula1>PersonelAdlari</formula1>
    </dataValidation>
    <dataValidation sqref="J2:J300" showDropDown="0" showInputMessage="0" showErrorMessage="0" allowBlank="1" type="list">
      <formula1>"Oran,Sabit Tutar"</formula1>
    </dataValidation>
    <dataValidation sqref="F2:F300" showDropDown="0" showInputMessage="0" showErrorMessage="0" allowBlank="1" error="1 veya daha büyük tam sayı girin (1 = ilk kesilecek dosya)." type="whole" operator="greaterThanOrEqual">
      <formula1>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F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1" customWidth="1" min="3" max="3"/>
    <col width="15" customWidth="1" min="4" max="4"/>
    <col width="15" customWidth="1" min="5" max="5"/>
    <col width="30" customWidth="1" min="6" max="6"/>
  </cols>
  <sheetData>
    <row r="1" ht="34" customHeight="1">
      <c r="A1" s="6" t="inlineStr">
        <is>
          <t>Personel Adı Soyadı</t>
        </is>
      </c>
      <c r="B1" s="6" t="inlineStr">
        <is>
          <t>Dosya Numarası</t>
        </is>
      </c>
      <c r="C1" s="6" t="inlineStr">
        <is>
          <t>Kesinti Yılı</t>
        </is>
      </c>
      <c r="D1" s="6" t="inlineStr">
        <is>
          <t>Kesinti Dönemi (Ay)</t>
        </is>
      </c>
      <c r="E1" s="6" t="inlineStr">
        <is>
          <t>Kesinti Tutarı (TL)</t>
        </is>
      </c>
      <c r="F1" s="6" t="inlineStr">
        <is>
          <t>Açıklama</t>
        </is>
      </c>
    </row>
    <row r="2">
      <c r="A2" s="7" t="inlineStr">
        <is>
          <t>MERT TÜZE</t>
        </is>
      </c>
      <c r="B2" s="7" t="inlineStr">
        <is>
          <t>2025/203385</t>
        </is>
      </c>
      <c r="C2" s="7" t="n">
        <v>2026</v>
      </c>
      <c r="D2" s="7" t="inlineStr">
        <is>
          <t>Şubat</t>
        </is>
      </c>
      <c r="E2" s="9" t="n">
        <v>7018.88</v>
      </c>
      <c r="F2" s="7" t="inlineStr">
        <is>
          <t>ÖRNEK KAYIT</t>
        </is>
      </c>
    </row>
    <row r="3">
      <c r="A3" s="7" t="inlineStr">
        <is>
          <t>MERT TÜZE</t>
        </is>
      </c>
      <c r="B3" s="7" t="inlineStr">
        <is>
          <t>2025/203385</t>
        </is>
      </c>
      <c r="C3" s="7" t="n">
        <v>2026</v>
      </c>
      <c r="D3" s="7" t="inlineStr">
        <is>
          <t>Mart</t>
        </is>
      </c>
      <c r="E3" s="9" t="n">
        <v>7018.88</v>
      </c>
      <c r="F3" s="7" t="inlineStr">
        <is>
          <t>ÖRNEK KAYIT</t>
        </is>
      </c>
    </row>
    <row r="4">
      <c r="A4" s="7" t="inlineStr">
        <is>
          <t>MERT TÜZE</t>
        </is>
      </c>
      <c r="B4" s="7" t="inlineStr">
        <is>
          <t>2025/203385</t>
        </is>
      </c>
      <c r="C4" s="7" t="n">
        <v>2026</v>
      </c>
      <c r="D4" s="7" t="inlineStr">
        <is>
          <t>Nisan</t>
        </is>
      </c>
      <c r="E4" s="9" t="n">
        <v>7018.88</v>
      </c>
      <c r="F4" s="7" t="inlineStr">
        <is>
          <t>ÖRNEK KAYIT</t>
        </is>
      </c>
    </row>
    <row r="5">
      <c r="A5" s="7" t="inlineStr">
        <is>
          <t>AHMET BAŞOĞLU</t>
        </is>
      </c>
      <c r="B5" s="7" t="inlineStr">
        <is>
          <t>2025/55555</t>
        </is>
      </c>
      <c r="C5" s="7" t="n">
        <v>2026</v>
      </c>
      <c r="D5" s="7" t="inlineStr">
        <is>
          <t>Mayıs</t>
        </is>
      </c>
      <c r="E5" s="9" t="n">
        <v>6000</v>
      </c>
      <c r="F5" s="7" t="inlineStr">
        <is>
          <t>ÖRNEK KAYIT</t>
        </is>
      </c>
    </row>
    <row r="6">
      <c r="A6" s="7" t="n"/>
      <c r="B6" s="7" t="n"/>
      <c r="C6" s="7" t="n"/>
      <c r="D6" s="7" t="n"/>
      <c r="E6" s="9" t="n"/>
      <c r="F6" s="7" t="n"/>
    </row>
    <row r="7">
      <c r="A7" s="7" t="n"/>
      <c r="B7" s="7" t="n"/>
      <c r="C7" s="7" t="n"/>
      <c r="D7" s="7" t="n"/>
      <c r="E7" s="9" t="n"/>
      <c r="F7" s="7" t="n"/>
    </row>
    <row r="8">
      <c r="A8" s="7" t="n"/>
      <c r="B8" s="7" t="n"/>
      <c r="C8" s="7" t="n"/>
      <c r="D8" s="7" t="n"/>
      <c r="E8" s="9" t="n"/>
      <c r="F8" s="7" t="n"/>
    </row>
    <row r="9">
      <c r="A9" s="7" t="n"/>
      <c r="B9" s="7" t="n"/>
      <c r="C9" s="7" t="n"/>
      <c r="D9" s="7" t="n"/>
      <c r="E9" s="9" t="n"/>
      <c r="F9" s="7" t="n"/>
    </row>
    <row r="10">
      <c r="A10" s="7" t="n"/>
      <c r="B10" s="7" t="n"/>
      <c r="C10" s="7" t="n"/>
      <c r="D10" s="7" t="n"/>
      <c r="E10" s="9" t="n"/>
      <c r="F10" s="7" t="n"/>
    </row>
    <row r="11">
      <c r="A11" s="7" t="n"/>
      <c r="B11" s="7" t="n"/>
      <c r="C11" s="7" t="n"/>
      <c r="D11" s="7" t="n"/>
      <c r="E11" s="9" t="n"/>
      <c r="F11" s="7" t="n"/>
    </row>
    <row r="12">
      <c r="A12" s="7" t="n"/>
      <c r="B12" s="7" t="n"/>
      <c r="C12" s="7" t="n"/>
      <c r="D12" s="7" t="n"/>
      <c r="E12" s="9" t="n"/>
      <c r="F12" s="7" t="n"/>
    </row>
    <row r="13">
      <c r="A13" s="7" t="n"/>
      <c r="B13" s="7" t="n"/>
      <c r="C13" s="7" t="n"/>
      <c r="D13" s="7" t="n"/>
      <c r="E13" s="9" t="n"/>
      <c r="F13" s="7" t="n"/>
    </row>
    <row r="14">
      <c r="A14" s="7" t="n"/>
      <c r="B14" s="7" t="n"/>
      <c r="C14" s="7" t="n"/>
      <c r="D14" s="7" t="n"/>
      <c r="E14" s="9" t="n"/>
      <c r="F14" s="7" t="n"/>
    </row>
    <row r="15">
      <c r="A15" s="7" t="n"/>
      <c r="B15" s="7" t="n"/>
      <c r="C15" s="7" t="n"/>
      <c r="D15" s="7" t="n"/>
      <c r="E15" s="9" t="n"/>
      <c r="F15" s="7" t="n"/>
    </row>
    <row r="16">
      <c r="A16" s="7" t="n"/>
      <c r="B16" s="7" t="n"/>
      <c r="C16" s="7" t="n"/>
      <c r="D16" s="7" t="n"/>
      <c r="E16" s="9" t="n"/>
      <c r="F16" s="7" t="n"/>
    </row>
    <row r="17">
      <c r="A17" s="7" t="n"/>
      <c r="B17" s="7" t="n"/>
      <c r="C17" s="7" t="n"/>
      <c r="D17" s="7" t="n"/>
      <c r="E17" s="9" t="n"/>
      <c r="F17" s="7" t="n"/>
    </row>
    <row r="18">
      <c r="A18" s="7" t="n"/>
      <c r="B18" s="7" t="n"/>
      <c r="C18" s="7" t="n"/>
      <c r="D18" s="7" t="n"/>
      <c r="E18" s="9" t="n"/>
      <c r="F18" s="7" t="n"/>
    </row>
    <row r="19">
      <c r="A19" s="7" t="n"/>
      <c r="B19" s="7" t="n"/>
      <c r="C19" s="7" t="n"/>
      <c r="D19" s="7" t="n"/>
      <c r="E19" s="9" t="n"/>
      <c r="F19" s="7" t="n"/>
    </row>
    <row r="20">
      <c r="A20" s="7" t="n"/>
      <c r="B20" s="7" t="n"/>
      <c r="C20" s="7" t="n"/>
      <c r="D20" s="7" t="n"/>
      <c r="E20" s="9" t="n"/>
      <c r="F20" s="7" t="n"/>
    </row>
    <row r="21">
      <c r="A21" s="7" t="n"/>
      <c r="B21" s="7" t="n"/>
      <c r="C21" s="7" t="n"/>
      <c r="D21" s="7" t="n"/>
      <c r="E21" s="9" t="n"/>
      <c r="F21" s="7" t="n"/>
    </row>
    <row r="22">
      <c r="A22" s="7" t="n"/>
      <c r="B22" s="7" t="n"/>
      <c r="C22" s="7" t="n"/>
      <c r="D22" s="7" t="n"/>
      <c r="E22" s="9" t="n"/>
      <c r="F22" s="7" t="n"/>
    </row>
    <row r="23">
      <c r="A23" s="7" t="n"/>
      <c r="B23" s="7" t="n"/>
      <c r="C23" s="7" t="n"/>
      <c r="D23" s="7" t="n"/>
      <c r="E23" s="9" t="n"/>
      <c r="F23" s="7" t="n"/>
    </row>
    <row r="24">
      <c r="A24" s="7" t="n"/>
      <c r="B24" s="7" t="n"/>
      <c r="C24" s="7" t="n"/>
      <c r="D24" s="7" t="n"/>
      <c r="E24" s="9" t="n"/>
      <c r="F24" s="7" t="n"/>
    </row>
    <row r="25">
      <c r="A25" s="7" t="n"/>
      <c r="B25" s="7" t="n"/>
      <c r="C25" s="7" t="n"/>
      <c r="D25" s="7" t="n"/>
      <c r="E25" s="9" t="n"/>
      <c r="F25" s="7" t="n"/>
    </row>
    <row r="26">
      <c r="A26" s="7" t="n"/>
      <c r="B26" s="7" t="n"/>
      <c r="C26" s="7" t="n"/>
      <c r="D26" s="7" t="n"/>
      <c r="E26" s="9" t="n"/>
      <c r="F26" s="7" t="n"/>
    </row>
    <row r="27">
      <c r="A27" s="7" t="n"/>
      <c r="B27" s="7" t="n"/>
      <c r="C27" s="7" t="n"/>
      <c r="D27" s="7" t="n"/>
      <c r="E27" s="9" t="n"/>
      <c r="F27" s="7" t="n"/>
    </row>
    <row r="28">
      <c r="A28" s="7" t="n"/>
      <c r="B28" s="7" t="n"/>
      <c r="C28" s="7" t="n"/>
      <c r="D28" s="7" t="n"/>
      <c r="E28" s="9" t="n"/>
      <c r="F28" s="7" t="n"/>
    </row>
    <row r="29">
      <c r="A29" s="7" t="n"/>
      <c r="B29" s="7" t="n"/>
      <c r="C29" s="7" t="n"/>
      <c r="D29" s="7" t="n"/>
      <c r="E29" s="9" t="n"/>
      <c r="F29" s="7" t="n"/>
    </row>
    <row r="30">
      <c r="A30" s="7" t="n"/>
      <c r="B30" s="7" t="n"/>
      <c r="C30" s="7" t="n"/>
      <c r="D30" s="7" t="n"/>
      <c r="E30" s="9" t="n"/>
      <c r="F30" s="7" t="n"/>
    </row>
    <row r="31">
      <c r="A31" s="7" t="n"/>
      <c r="B31" s="7" t="n"/>
      <c r="C31" s="7" t="n"/>
      <c r="D31" s="7" t="n"/>
      <c r="E31" s="9" t="n"/>
      <c r="F31" s="7" t="n"/>
    </row>
    <row r="32">
      <c r="A32" s="7" t="n"/>
      <c r="B32" s="7" t="n"/>
      <c r="C32" s="7" t="n"/>
      <c r="D32" s="7" t="n"/>
      <c r="E32" s="9" t="n"/>
      <c r="F32" s="7" t="n"/>
    </row>
    <row r="33">
      <c r="A33" s="7" t="n"/>
      <c r="B33" s="7" t="n"/>
      <c r="C33" s="7" t="n"/>
      <c r="D33" s="7" t="n"/>
      <c r="E33" s="9" t="n"/>
      <c r="F33" s="7" t="n"/>
    </row>
    <row r="34">
      <c r="A34" s="7" t="n"/>
      <c r="B34" s="7" t="n"/>
      <c r="C34" s="7" t="n"/>
      <c r="D34" s="7" t="n"/>
      <c r="E34" s="9" t="n"/>
      <c r="F34" s="7" t="n"/>
    </row>
    <row r="35">
      <c r="A35" s="7" t="n"/>
      <c r="B35" s="7" t="n"/>
      <c r="C35" s="7" t="n"/>
      <c r="D35" s="7" t="n"/>
      <c r="E35" s="9" t="n"/>
      <c r="F35" s="7" t="n"/>
    </row>
    <row r="36">
      <c r="A36" s="7" t="n"/>
      <c r="B36" s="7" t="n"/>
      <c r="C36" s="7" t="n"/>
      <c r="D36" s="7" t="n"/>
      <c r="E36" s="9" t="n"/>
      <c r="F36" s="7" t="n"/>
    </row>
    <row r="37">
      <c r="A37" s="7" t="n"/>
      <c r="B37" s="7" t="n"/>
      <c r="C37" s="7" t="n"/>
      <c r="D37" s="7" t="n"/>
      <c r="E37" s="9" t="n"/>
      <c r="F37" s="7" t="n"/>
    </row>
    <row r="38">
      <c r="A38" s="7" t="n"/>
      <c r="B38" s="7" t="n"/>
      <c r="C38" s="7" t="n"/>
      <c r="D38" s="7" t="n"/>
      <c r="E38" s="9" t="n"/>
      <c r="F38" s="7" t="n"/>
    </row>
    <row r="39">
      <c r="A39" s="7" t="n"/>
      <c r="B39" s="7" t="n"/>
      <c r="C39" s="7" t="n"/>
      <c r="D39" s="7" t="n"/>
      <c r="E39" s="9" t="n"/>
      <c r="F39" s="7" t="n"/>
    </row>
    <row r="40">
      <c r="A40" s="7" t="n"/>
      <c r="B40" s="7" t="n"/>
      <c r="C40" s="7" t="n"/>
      <c r="D40" s="7" t="n"/>
      <c r="E40" s="9" t="n"/>
      <c r="F40" s="7" t="n"/>
    </row>
    <row r="41">
      <c r="A41" s="7" t="n"/>
      <c r="B41" s="7" t="n"/>
      <c r="C41" s="7" t="n"/>
      <c r="D41" s="7" t="n"/>
      <c r="E41" s="9" t="n"/>
      <c r="F41" s="7" t="n"/>
    </row>
    <row r="42">
      <c r="A42" s="7" t="n"/>
      <c r="B42" s="7" t="n"/>
      <c r="C42" s="7" t="n"/>
      <c r="D42" s="7" t="n"/>
      <c r="E42" s="9" t="n"/>
      <c r="F42" s="7" t="n"/>
    </row>
    <row r="43">
      <c r="A43" s="7" t="n"/>
      <c r="B43" s="7" t="n"/>
      <c r="C43" s="7" t="n"/>
      <c r="D43" s="7" t="n"/>
      <c r="E43" s="9" t="n"/>
      <c r="F43" s="7" t="n"/>
    </row>
    <row r="44">
      <c r="A44" s="7" t="n"/>
      <c r="B44" s="7" t="n"/>
      <c r="C44" s="7" t="n"/>
      <c r="D44" s="7" t="n"/>
      <c r="E44" s="9" t="n"/>
      <c r="F44" s="7" t="n"/>
    </row>
    <row r="45">
      <c r="A45" s="7" t="n"/>
      <c r="B45" s="7" t="n"/>
      <c r="C45" s="7" t="n"/>
      <c r="D45" s="7" t="n"/>
      <c r="E45" s="9" t="n"/>
      <c r="F45" s="7" t="n"/>
    </row>
    <row r="46">
      <c r="A46" s="7" t="n"/>
      <c r="B46" s="7" t="n"/>
      <c r="C46" s="7" t="n"/>
      <c r="D46" s="7" t="n"/>
      <c r="E46" s="9" t="n"/>
      <c r="F46" s="7" t="n"/>
    </row>
    <row r="47">
      <c r="A47" s="7" t="n"/>
      <c r="B47" s="7" t="n"/>
      <c r="C47" s="7" t="n"/>
      <c r="D47" s="7" t="n"/>
      <c r="E47" s="9" t="n"/>
      <c r="F47" s="7" t="n"/>
    </row>
    <row r="48">
      <c r="A48" s="7" t="n"/>
      <c r="B48" s="7" t="n"/>
      <c r="C48" s="7" t="n"/>
      <c r="D48" s="7" t="n"/>
      <c r="E48" s="9" t="n"/>
      <c r="F48" s="7" t="n"/>
    </row>
    <row r="49">
      <c r="A49" s="7" t="n"/>
      <c r="B49" s="7" t="n"/>
      <c r="C49" s="7" t="n"/>
      <c r="D49" s="7" t="n"/>
      <c r="E49" s="9" t="n"/>
      <c r="F49" s="7" t="n"/>
    </row>
    <row r="50">
      <c r="A50" s="7" t="n"/>
      <c r="B50" s="7" t="n"/>
      <c r="C50" s="7" t="n"/>
      <c r="D50" s="7" t="n"/>
      <c r="E50" s="9" t="n"/>
      <c r="F50" s="7" t="n"/>
    </row>
    <row r="51">
      <c r="A51" s="7" t="n"/>
      <c r="B51" s="7" t="n"/>
      <c r="C51" s="7" t="n"/>
      <c r="D51" s="7" t="n"/>
      <c r="E51" s="9" t="n"/>
      <c r="F51" s="7" t="n"/>
    </row>
    <row r="52">
      <c r="A52" s="7" t="n"/>
      <c r="B52" s="7" t="n"/>
      <c r="C52" s="7" t="n"/>
      <c r="D52" s="7" t="n"/>
      <c r="E52" s="9" t="n"/>
      <c r="F52" s="7" t="n"/>
    </row>
    <row r="53">
      <c r="A53" s="7" t="n"/>
      <c r="B53" s="7" t="n"/>
      <c r="C53" s="7" t="n"/>
      <c r="D53" s="7" t="n"/>
      <c r="E53" s="9" t="n"/>
      <c r="F53" s="7" t="n"/>
    </row>
    <row r="54">
      <c r="A54" s="7" t="n"/>
      <c r="B54" s="7" t="n"/>
      <c r="C54" s="7" t="n"/>
      <c r="D54" s="7" t="n"/>
      <c r="E54" s="9" t="n"/>
      <c r="F54" s="7" t="n"/>
    </row>
    <row r="55">
      <c r="A55" s="7" t="n"/>
      <c r="B55" s="7" t="n"/>
      <c r="C55" s="7" t="n"/>
      <c r="D55" s="7" t="n"/>
      <c r="E55" s="9" t="n"/>
      <c r="F55" s="7" t="n"/>
    </row>
    <row r="56">
      <c r="A56" s="7" t="n"/>
      <c r="B56" s="7" t="n"/>
      <c r="C56" s="7" t="n"/>
      <c r="D56" s="7" t="n"/>
      <c r="E56" s="9" t="n"/>
      <c r="F56" s="7" t="n"/>
    </row>
    <row r="57">
      <c r="A57" s="7" t="n"/>
      <c r="B57" s="7" t="n"/>
      <c r="C57" s="7" t="n"/>
      <c r="D57" s="7" t="n"/>
      <c r="E57" s="9" t="n"/>
      <c r="F57" s="7" t="n"/>
    </row>
    <row r="58">
      <c r="A58" s="7" t="n"/>
      <c r="B58" s="7" t="n"/>
      <c r="C58" s="7" t="n"/>
      <c r="D58" s="7" t="n"/>
      <c r="E58" s="9" t="n"/>
      <c r="F58" s="7" t="n"/>
    </row>
    <row r="59">
      <c r="A59" s="7" t="n"/>
      <c r="B59" s="7" t="n"/>
      <c r="C59" s="7" t="n"/>
      <c r="D59" s="7" t="n"/>
      <c r="E59" s="9" t="n"/>
      <c r="F59" s="7" t="n"/>
    </row>
    <row r="60">
      <c r="A60" s="7" t="n"/>
      <c r="B60" s="7" t="n"/>
      <c r="C60" s="7" t="n"/>
      <c r="D60" s="7" t="n"/>
      <c r="E60" s="9" t="n"/>
      <c r="F60" s="7" t="n"/>
    </row>
    <row r="61">
      <c r="A61" s="7" t="n"/>
      <c r="B61" s="7" t="n"/>
      <c r="C61" s="7" t="n"/>
      <c r="D61" s="7" t="n"/>
      <c r="E61" s="9" t="n"/>
      <c r="F61" s="7" t="n"/>
    </row>
    <row r="62">
      <c r="A62" s="7" t="n"/>
      <c r="B62" s="7" t="n"/>
      <c r="C62" s="7" t="n"/>
      <c r="D62" s="7" t="n"/>
      <c r="E62" s="9" t="n"/>
      <c r="F62" s="7" t="n"/>
    </row>
    <row r="63">
      <c r="A63" s="7" t="n"/>
      <c r="B63" s="7" t="n"/>
      <c r="C63" s="7" t="n"/>
      <c r="D63" s="7" t="n"/>
      <c r="E63" s="9" t="n"/>
      <c r="F63" s="7" t="n"/>
    </row>
    <row r="64">
      <c r="A64" s="7" t="n"/>
      <c r="B64" s="7" t="n"/>
      <c r="C64" s="7" t="n"/>
      <c r="D64" s="7" t="n"/>
      <c r="E64" s="9" t="n"/>
      <c r="F64" s="7" t="n"/>
    </row>
    <row r="65">
      <c r="A65" s="7" t="n"/>
      <c r="B65" s="7" t="n"/>
      <c r="C65" s="7" t="n"/>
      <c r="D65" s="7" t="n"/>
      <c r="E65" s="9" t="n"/>
      <c r="F65" s="7" t="n"/>
    </row>
    <row r="66">
      <c r="A66" s="7" t="n"/>
      <c r="B66" s="7" t="n"/>
      <c r="C66" s="7" t="n"/>
      <c r="D66" s="7" t="n"/>
      <c r="E66" s="9" t="n"/>
      <c r="F66" s="7" t="n"/>
    </row>
    <row r="67">
      <c r="A67" s="7" t="n"/>
      <c r="B67" s="7" t="n"/>
      <c r="C67" s="7" t="n"/>
      <c r="D67" s="7" t="n"/>
      <c r="E67" s="9" t="n"/>
      <c r="F67" s="7" t="n"/>
    </row>
    <row r="68">
      <c r="A68" s="7" t="n"/>
      <c r="B68" s="7" t="n"/>
      <c r="C68" s="7" t="n"/>
      <c r="D68" s="7" t="n"/>
      <c r="E68" s="9" t="n"/>
      <c r="F68" s="7" t="n"/>
    </row>
    <row r="69">
      <c r="A69" s="7" t="n"/>
      <c r="B69" s="7" t="n"/>
      <c r="C69" s="7" t="n"/>
      <c r="D69" s="7" t="n"/>
      <c r="E69" s="9" t="n"/>
      <c r="F69" s="7" t="n"/>
    </row>
    <row r="70">
      <c r="A70" s="7" t="n"/>
      <c r="B70" s="7" t="n"/>
      <c r="C70" s="7" t="n"/>
      <c r="D70" s="7" t="n"/>
      <c r="E70" s="9" t="n"/>
      <c r="F70" s="7" t="n"/>
    </row>
    <row r="71">
      <c r="A71" s="7" t="n"/>
      <c r="B71" s="7" t="n"/>
      <c r="C71" s="7" t="n"/>
      <c r="D71" s="7" t="n"/>
      <c r="E71" s="9" t="n"/>
      <c r="F71" s="7" t="n"/>
    </row>
    <row r="72">
      <c r="A72" s="7" t="n"/>
      <c r="B72" s="7" t="n"/>
      <c r="C72" s="7" t="n"/>
      <c r="D72" s="7" t="n"/>
      <c r="E72" s="9" t="n"/>
      <c r="F72" s="7" t="n"/>
    </row>
    <row r="73">
      <c r="A73" s="7" t="n"/>
      <c r="B73" s="7" t="n"/>
      <c r="C73" s="7" t="n"/>
      <c r="D73" s="7" t="n"/>
      <c r="E73" s="9" t="n"/>
      <c r="F73" s="7" t="n"/>
    </row>
    <row r="74">
      <c r="A74" s="7" t="n"/>
      <c r="B74" s="7" t="n"/>
      <c r="C74" s="7" t="n"/>
      <c r="D74" s="7" t="n"/>
      <c r="E74" s="9" t="n"/>
      <c r="F74" s="7" t="n"/>
    </row>
    <row r="75">
      <c r="A75" s="7" t="n"/>
      <c r="B75" s="7" t="n"/>
      <c r="C75" s="7" t="n"/>
      <c r="D75" s="7" t="n"/>
      <c r="E75" s="9" t="n"/>
      <c r="F75" s="7" t="n"/>
    </row>
    <row r="76">
      <c r="A76" s="7" t="n"/>
      <c r="B76" s="7" t="n"/>
      <c r="C76" s="7" t="n"/>
      <c r="D76" s="7" t="n"/>
      <c r="E76" s="9" t="n"/>
      <c r="F76" s="7" t="n"/>
    </row>
    <row r="77">
      <c r="A77" s="7" t="n"/>
      <c r="B77" s="7" t="n"/>
      <c r="C77" s="7" t="n"/>
      <c r="D77" s="7" t="n"/>
      <c r="E77" s="9" t="n"/>
      <c r="F77" s="7" t="n"/>
    </row>
    <row r="78">
      <c r="A78" s="7" t="n"/>
      <c r="B78" s="7" t="n"/>
      <c r="C78" s="7" t="n"/>
      <c r="D78" s="7" t="n"/>
      <c r="E78" s="9" t="n"/>
      <c r="F78" s="7" t="n"/>
    </row>
    <row r="79">
      <c r="A79" s="7" t="n"/>
      <c r="B79" s="7" t="n"/>
      <c r="C79" s="7" t="n"/>
      <c r="D79" s="7" t="n"/>
      <c r="E79" s="9" t="n"/>
      <c r="F79" s="7" t="n"/>
    </row>
    <row r="80">
      <c r="A80" s="7" t="n"/>
      <c r="B80" s="7" t="n"/>
      <c r="C80" s="7" t="n"/>
      <c r="D80" s="7" t="n"/>
      <c r="E80" s="9" t="n"/>
      <c r="F80" s="7" t="n"/>
    </row>
    <row r="81">
      <c r="A81" s="7" t="n"/>
      <c r="B81" s="7" t="n"/>
      <c r="C81" s="7" t="n"/>
      <c r="D81" s="7" t="n"/>
      <c r="E81" s="9" t="n"/>
      <c r="F81" s="7" t="n"/>
    </row>
    <row r="82">
      <c r="A82" s="7" t="n"/>
      <c r="B82" s="7" t="n"/>
      <c r="C82" s="7" t="n"/>
      <c r="D82" s="7" t="n"/>
      <c r="E82" s="9" t="n"/>
      <c r="F82" s="7" t="n"/>
    </row>
    <row r="83">
      <c r="A83" s="7" t="n"/>
      <c r="B83" s="7" t="n"/>
      <c r="C83" s="7" t="n"/>
      <c r="D83" s="7" t="n"/>
      <c r="E83" s="9" t="n"/>
      <c r="F83" s="7" t="n"/>
    </row>
    <row r="84">
      <c r="A84" s="7" t="n"/>
      <c r="B84" s="7" t="n"/>
      <c r="C84" s="7" t="n"/>
      <c r="D84" s="7" t="n"/>
      <c r="E84" s="9" t="n"/>
      <c r="F84" s="7" t="n"/>
    </row>
    <row r="85">
      <c r="A85" s="7" t="n"/>
      <c r="B85" s="7" t="n"/>
      <c r="C85" s="7" t="n"/>
      <c r="D85" s="7" t="n"/>
      <c r="E85" s="9" t="n"/>
      <c r="F85" s="7" t="n"/>
    </row>
    <row r="86">
      <c r="A86" s="7" t="n"/>
      <c r="B86" s="7" t="n"/>
      <c r="C86" s="7" t="n"/>
      <c r="D86" s="7" t="n"/>
      <c r="E86" s="9" t="n"/>
      <c r="F86" s="7" t="n"/>
    </row>
    <row r="87">
      <c r="A87" s="7" t="n"/>
      <c r="B87" s="7" t="n"/>
      <c r="C87" s="7" t="n"/>
      <c r="D87" s="7" t="n"/>
      <c r="E87" s="9" t="n"/>
      <c r="F87" s="7" t="n"/>
    </row>
    <row r="88">
      <c r="A88" s="7" t="n"/>
      <c r="B88" s="7" t="n"/>
      <c r="C88" s="7" t="n"/>
      <c r="D88" s="7" t="n"/>
      <c r="E88" s="9" t="n"/>
      <c r="F88" s="7" t="n"/>
    </row>
    <row r="89">
      <c r="A89" s="7" t="n"/>
      <c r="B89" s="7" t="n"/>
      <c r="C89" s="7" t="n"/>
      <c r="D89" s="7" t="n"/>
      <c r="E89" s="9" t="n"/>
      <c r="F89" s="7" t="n"/>
    </row>
    <row r="90">
      <c r="A90" s="7" t="n"/>
      <c r="B90" s="7" t="n"/>
      <c r="C90" s="7" t="n"/>
      <c r="D90" s="7" t="n"/>
      <c r="E90" s="9" t="n"/>
      <c r="F90" s="7" t="n"/>
    </row>
    <row r="91">
      <c r="A91" s="7" t="n"/>
      <c r="B91" s="7" t="n"/>
      <c r="C91" s="7" t="n"/>
      <c r="D91" s="7" t="n"/>
      <c r="E91" s="9" t="n"/>
      <c r="F91" s="7" t="n"/>
    </row>
    <row r="92">
      <c r="A92" s="7" t="n"/>
      <c r="B92" s="7" t="n"/>
      <c r="C92" s="7" t="n"/>
      <c r="D92" s="7" t="n"/>
      <c r="E92" s="9" t="n"/>
      <c r="F92" s="7" t="n"/>
    </row>
    <row r="93">
      <c r="A93" s="7" t="n"/>
      <c r="B93" s="7" t="n"/>
      <c r="C93" s="7" t="n"/>
      <c r="D93" s="7" t="n"/>
      <c r="E93" s="9" t="n"/>
      <c r="F93" s="7" t="n"/>
    </row>
    <row r="94">
      <c r="A94" s="7" t="n"/>
      <c r="B94" s="7" t="n"/>
      <c r="C94" s="7" t="n"/>
      <c r="D94" s="7" t="n"/>
      <c r="E94" s="9" t="n"/>
      <c r="F94" s="7" t="n"/>
    </row>
    <row r="95">
      <c r="A95" s="7" t="n"/>
      <c r="B95" s="7" t="n"/>
      <c r="C95" s="7" t="n"/>
      <c r="D95" s="7" t="n"/>
      <c r="E95" s="9" t="n"/>
      <c r="F95" s="7" t="n"/>
    </row>
    <row r="96">
      <c r="A96" s="7" t="n"/>
      <c r="B96" s="7" t="n"/>
      <c r="C96" s="7" t="n"/>
      <c r="D96" s="7" t="n"/>
      <c r="E96" s="9" t="n"/>
      <c r="F96" s="7" t="n"/>
    </row>
    <row r="97">
      <c r="A97" s="7" t="n"/>
      <c r="B97" s="7" t="n"/>
      <c r="C97" s="7" t="n"/>
      <c r="D97" s="7" t="n"/>
      <c r="E97" s="9" t="n"/>
      <c r="F97" s="7" t="n"/>
    </row>
    <row r="98">
      <c r="A98" s="7" t="n"/>
      <c r="B98" s="7" t="n"/>
      <c r="C98" s="7" t="n"/>
      <c r="D98" s="7" t="n"/>
      <c r="E98" s="9" t="n"/>
      <c r="F98" s="7" t="n"/>
    </row>
    <row r="99">
      <c r="A99" s="7" t="n"/>
      <c r="B99" s="7" t="n"/>
      <c r="C99" s="7" t="n"/>
      <c r="D99" s="7" t="n"/>
      <c r="E99" s="9" t="n"/>
      <c r="F99" s="7" t="n"/>
    </row>
    <row r="100">
      <c r="A100" s="7" t="n"/>
      <c r="B100" s="7" t="n"/>
      <c r="C100" s="7" t="n"/>
      <c r="D100" s="7" t="n"/>
      <c r="E100" s="9" t="n"/>
      <c r="F100" s="7" t="n"/>
    </row>
    <row r="101">
      <c r="A101" s="7" t="n"/>
      <c r="B101" s="7" t="n"/>
      <c r="C101" s="7" t="n"/>
      <c r="D101" s="7" t="n"/>
      <c r="E101" s="9" t="n"/>
      <c r="F101" s="7" t="n"/>
    </row>
    <row r="102">
      <c r="A102" s="7" t="n"/>
      <c r="B102" s="7" t="n"/>
      <c r="C102" s="7" t="n"/>
      <c r="D102" s="7" t="n"/>
      <c r="E102" s="9" t="n"/>
      <c r="F102" s="7" t="n"/>
    </row>
    <row r="103">
      <c r="A103" s="7" t="n"/>
      <c r="B103" s="7" t="n"/>
      <c r="C103" s="7" t="n"/>
      <c r="D103" s="7" t="n"/>
      <c r="E103" s="9" t="n"/>
      <c r="F103" s="7" t="n"/>
    </row>
    <row r="104">
      <c r="A104" s="7" t="n"/>
      <c r="B104" s="7" t="n"/>
      <c r="C104" s="7" t="n"/>
      <c r="D104" s="7" t="n"/>
      <c r="E104" s="9" t="n"/>
      <c r="F104" s="7" t="n"/>
    </row>
    <row r="105">
      <c r="A105" s="7" t="n"/>
      <c r="B105" s="7" t="n"/>
      <c r="C105" s="7" t="n"/>
      <c r="D105" s="7" t="n"/>
      <c r="E105" s="9" t="n"/>
      <c r="F105" s="7" t="n"/>
    </row>
    <row r="106">
      <c r="A106" s="7" t="n"/>
      <c r="B106" s="7" t="n"/>
      <c r="C106" s="7" t="n"/>
      <c r="D106" s="7" t="n"/>
      <c r="E106" s="9" t="n"/>
      <c r="F106" s="7" t="n"/>
    </row>
    <row r="107">
      <c r="A107" s="7" t="n"/>
      <c r="B107" s="7" t="n"/>
      <c r="C107" s="7" t="n"/>
      <c r="D107" s="7" t="n"/>
      <c r="E107" s="9" t="n"/>
      <c r="F107" s="7" t="n"/>
    </row>
    <row r="108">
      <c r="A108" s="7" t="n"/>
      <c r="B108" s="7" t="n"/>
      <c r="C108" s="7" t="n"/>
      <c r="D108" s="7" t="n"/>
      <c r="E108" s="9" t="n"/>
      <c r="F108" s="7" t="n"/>
    </row>
    <row r="109">
      <c r="A109" s="7" t="n"/>
      <c r="B109" s="7" t="n"/>
      <c r="C109" s="7" t="n"/>
      <c r="D109" s="7" t="n"/>
      <c r="E109" s="9" t="n"/>
      <c r="F109" s="7" t="n"/>
    </row>
    <row r="110">
      <c r="A110" s="7" t="n"/>
      <c r="B110" s="7" t="n"/>
      <c r="C110" s="7" t="n"/>
      <c r="D110" s="7" t="n"/>
      <c r="E110" s="9" t="n"/>
      <c r="F110" s="7" t="n"/>
    </row>
    <row r="111">
      <c r="A111" s="7" t="n"/>
      <c r="B111" s="7" t="n"/>
      <c r="C111" s="7" t="n"/>
      <c r="D111" s="7" t="n"/>
      <c r="E111" s="9" t="n"/>
      <c r="F111" s="7" t="n"/>
    </row>
    <row r="112">
      <c r="A112" s="7" t="n"/>
      <c r="B112" s="7" t="n"/>
      <c r="C112" s="7" t="n"/>
      <c r="D112" s="7" t="n"/>
      <c r="E112" s="9" t="n"/>
      <c r="F112" s="7" t="n"/>
    </row>
    <row r="113">
      <c r="A113" s="7" t="n"/>
      <c r="B113" s="7" t="n"/>
      <c r="C113" s="7" t="n"/>
      <c r="D113" s="7" t="n"/>
      <c r="E113" s="9" t="n"/>
      <c r="F113" s="7" t="n"/>
    </row>
    <row r="114">
      <c r="A114" s="7" t="n"/>
      <c r="B114" s="7" t="n"/>
      <c r="C114" s="7" t="n"/>
      <c r="D114" s="7" t="n"/>
      <c r="E114" s="9" t="n"/>
      <c r="F114" s="7" t="n"/>
    </row>
    <row r="115">
      <c r="A115" s="7" t="n"/>
      <c r="B115" s="7" t="n"/>
      <c r="C115" s="7" t="n"/>
      <c r="D115" s="7" t="n"/>
      <c r="E115" s="9" t="n"/>
      <c r="F115" s="7" t="n"/>
    </row>
    <row r="116">
      <c r="A116" s="7" t="n"/>
      <c r="B116" s="7" t="n"/>
      <c r="C116" s="7" t="n"/>
      <c r="D116" s="7" t="n"/>
      <c r="E116" s="9" t="n"/>
      <c r="F116" s="7" t="n"/>
    </row>
    <row r="117">
      <c r="A117" s="7" t="n"/>
      <c r="B117" s="7" t="n"/>
      <c r="C117" s="7" t="n"/>
      <c r="D117" s="7" t="n"/>
      <c r="E117" s="9" t="n"/>
      <c r="F117" s="7" t="n"/>
    </row>
    <row r="118">
      <c r="A118" s="7" t="n"/>
      <c r="B118" s="7" t="n"/>
      <c r="C118" s="7" t="n"/>
      <c r="D118" s="7" t="n"/>
      <c r="E118" s="9" t="n"/>
      <c r="F118" s="7" t="n"/>
    </row>
    <row r="119">
      <c r="A119" s="7" t="n"/>
      <c r="B119" s="7" t="n"/>
      <c r="C119" s="7" t="n"/>
      <c r="D119" s="7" t="n"/>
      <c r="E119" s="9" t="n"/>
      <c r="F119" s="7" t="n"/>
    </row>
    <row r="120">
      <c r="A120" s="7" t="n"/>
      <c r="B120" s="7" t="n"/>
      <c r="C120" s="7" t="n"/>
      <c r="D120" s="7" t="n"/>
      <c r="E120" s="9" t="n"/>
      <c r="F120" s="7" t="n"/>
    </row>
    <row r="121">
      <c r="A121" s="7" t="n"/>
      <c r="B121" s="7" t="n"/>
      <c r="C121" s="7" t="n"/>
      <c r="D121" s="7" t="n"/>
      <c r="E121" s="9" t="n"/>
      <c r="F121" s="7" t="n"/>
    </row>
    <row r="122">
      <c r="A122" s="7" t="n"/>
      <c r="B122" s="7" t="n"/>
      <c r="C122" s="7" t="n"/>
      <c r="D122" s="7" t="n"/>
      <c r="E122" s="9" t="n"/>
      <c r="F122" s="7" t="n"/>
    </row>
    <row r="123">
      <c r="A123" s="7" t="n"/>
      <c r="B123" s="7" t="n"/>
      <c r="C123" s="7" t="n"/>
      <c r="D123" s="7" t="n"/>
      <c r="E123" s="9" t="n"/>
      <c r="F123" s="7" t="n"/>
    </row>
    <row r="124">
      <c r="A124" s="7" t="n"/>
      <c r="B124" s="7" t="n"/>
      <c r="C124" s="7" t="n"/>
      <c r="D124" s="7" t="n"/>
      <c r="E124" s="9" t="n"/>
      <c r="F124" s="7" t="n"/>
    </row>
    <row r="125">
      <c r="A125" s="7" t="n"/>
      <c r="B125" s="7" t="n"/>
      <c r="C125" s="7" t="n"/>
      <c r="D125" s="7" t="n"/>
      <c r="E125" s="9" t="n"/>
      <c r="F125" s="7" t="n"/>
    </row>
    <row r="126">
      <c r="A126" s="7" t="n"/>
      <c r="B126" s="7" t="n"/>
      <c r="C126" s="7" t="n"/>
      <c r="D126" s="7" t="n"/>
      <c r="E126" s="9" t="n"/>
      <c r="F126" s="7" t="n"/>
    </row>
    <row r="127">
      <c r="A127" s="7" t="n"/>
      <c r="B127" s="7" t="n"/>
      <c r="C127" s="7" t="n"/>
      <c r="D127" s="7" t="n"/>
      <c r="E127" s="9" t="n"/>
      <c r="F127" s="7" t="n"/>
    </row>
    <row r="128">
      <c r="A128" s="7" t="n"/>
      <c r="B128" s="7" t="n"/>
      <c r="C128" s="7" t="n"/>
      <c r="D128" s="7" t="n"/>
      <c r="E128" s="9" t="n"/>
      <c r="F128" s="7" t="n"/>
    </row>
    <row r="129">
      <c r="A129" s="7" t="n"/>
      <c r="B129" s="7" t="n"/>
      <c r="C129" s="7" t="n"/>
      <c r="D129" s="7" t="n"/>
      <c r="E129" s="9" t="n"/>
      <c r="F129" s="7" t="n"/>
    </row>
    <row r="130">
      <c r="A130" s="7" t="n"/>
      <c r="B130" s="7" t="n"/>
      <c r="C130" s="7" t="n"/>
      <c r="D130" s="7" t="n"/>
      <c r="E130" s="9" t="n"/>
      <c r="F130" s="7" t="n"/>
    </row>
    <row r="131">
      <c r="A131" s="7" t="n"/>
      <c r="B131" s="7" t="n"/>
      <c r="C131" s="7" t="n"/>
      <c r="D131" s="7" t="n"/>
      <c r="E131" s="9" t="n"/>
      <c r="F131" s="7" t="n"/>
    </row>
    <row r="132">
      <c r="A132" s="7" t="n"/>
      <c r="B132" s="7" t="n"/>
      <c r="C132" s="7" t="n"/>
      <c r="D132" s="7" t="n"/>
      <c r="E132" s="9" t="n"/>
      <c r="F132" s="7" t="n"/>
    </row>
    <row r="133">
      <c r="A133" s="7" t="n"/>
      <c r="B133" s="7" t="n"/>
      <c r="C133" s="7" t="n"/>
      <c r="D133" s="7" t="n"/>
      <c r="E133" s="9" t="n"/>
      <c r="F133" s="7" t="n"/>
    </row>
    <row r="134">
      <c r="A134" s="7" t="n"/>
      <c r="B134" s="7" t="n"/>
      <c r="C134" s="7" t="n"/>
      <c r="D134" s="7" t="n"/>
      <c r="E134" s="9" t="n"/>
      <c r="F134" s="7" t="n"/>
    </row>
    <row r="135">
      <c r="A135" s="7" t="n"/>
      <c r="B135" s="7" t="n"/>
      <c r="C135" s="7" t="n"/>
      <c r="D135" s="7" t="n"/>
      <c r="E135" s="9" t="n"/>
      <c r="F135" s="7" t="n"/>
    </row>
    <row r="136">
      <c r="A136" s="7" t="n"/>
      <c r="B136" s="7" t="n"/>
      <c r="C136" s="7" t="n"/>
      <c r="D136" s="7" t="n"/>
      <c r="E136" s="9" t="n"/>
      <c r="F136" s="7" t="n"/>
    </row>
    <row r="137">
      <c r="A137" s="7" t="n"/>
      <c r="B137" s="7" t="n"/>
      <c r="C137" s="7" t="n"/>
      <c r="D137" s="7" t="n"/>
      <c r="E137" s="9" t="n"/>
      <c r="F137" s="7" t="n"/>
    </row>
    <row r="138">
      <c r="A138" s="7" t="n"/>
      <c r="B138" s="7" t="n"/>
      <c r="C138" s="7" t="n"/>
      <c r="D138" s="7" t="n"/>
      <c r="E138" s="9" t="n"/>
      <c r="F138" s="7" t="n"/>
    </row>
    <row r="139">
      <c r="A139" s="7" t="n"/>
      <c r="B139" s="7" t="n"/>
      <c r="C139" s="7" t="n"/>
      <c r="D139" s="7" t="n"/>
      <c r="E139" s="9" t="n"/>
      <c r="F139" s="7" t="n"/>
    </row>
    <row r="140">
      <c r="A140" s="7" t="n"/>
      <c r="B140" s="7" t="n"/>
      <c r="C140" s="7" t="n"/>
      <c r="D140" s="7" t="n"/>
      <c r="E140" s="9" t="n"/>
      <c r="F140" s="7" t="n"/>
    </row>
    <row r="141">
      <c r="A141" s="7" t="n"/>
      <c r="B141" s="7" t="n"/>
      <c r="C141" s="7" t="n"/>
      <c r="D141" s="7" t="n"/>
      <c r="E141" s="9" t="n"/>
      <c r="F141" s="7" t="n"/>
    </row>
    <row r="142">
      <c r="A142" s="7" t="n"/>
      <c r="B142" s="7" t="n"/>
      <c r="C142" s="7" t="n"/>
      <c r="D142" s="7" t="n"/>
      <c r="E142" s="9" t="n"/>
      <c r="F142" s="7" t="n"/>
    </row>
    <row r="143">
      <c r="A143" s="7" t="n"/>
      <c r="B143" s="7" t="n"/>
      <c r="C143" s="7" t="n"/>
      <c r="D143" s="7" t="n"/>
      <c r="E143" s="9" t="n"/>
      <c r="F143" s="7" t="n"/>
    </row>
    <row r="144">
      <c r="A144" s="7" t="n"/>
      <c r="B144" s="7" t="n"/>
      <c r="C144" s="7" t="n"/>
      <c r="D144" s="7" t="n"/>
      <c r="E144" s="9" t="n"/>
      <c r="F144" s="7" t="n"/>
    </row>
    <row r="145">
      <c r="A145" s="7" t="n"/>
      <c r="B145" s="7" t="n"/>
      <c r="C145" s="7" t="n"/>
      <c r="D145" s="7" t="n"/>
      <c r="E145" s="9" t="n"/>
      <c r="F145" s="7" t="n"/>
    </row>
    <row r="146">
      <c r="A146" s="7" t="n"/>
      <c r="B146" s="7" t="n"/>
      <c r="C146" s="7" t="n"/>
      <c r="D146" s="7" t="n"/>
      <c r="E146" s="9" t="n"/>
      <c r="F146" s="7" t="n"/>
    </row>
    <row r="147">
      <c r="A147" s="7" t="n"/>
      <c r="B147" s="7" t="n"/>
      <c r="C147" s="7" t="n"/>
      <c r="D147" s="7" t="n"/>
      <c r="E147" s="9" t="n"/>
      <c r="F147" s="7" t="n"/>
    </row>
    <row r="148">
      <c r="A148" s="7" t="n"/>
      <c r="B148" s="7" t="n"/>
      <c r="C148" s="7" t="n"/>
      <c r="D148" s="7" t="n"/>
      <c r="E148" s="9" t="n"/>
      <c r="F148" s="7" t="n"/>
    </row>
    <row r="149">
      <c r="A149" s="7" t="n"/>
      <c r="B149" s="7" t="n"/>
      <c r="C149" s="7" t="n"/>
      <c r="D149" s="7" t="n"/>
      <c r="E149" s="9" t="n"/>
      <c r="F149" s="7" t="n"/>
    </row>
    <row r="150">
      <c r="A150" s="7" t="n"/>
      <c r="B150" s="7" t="n"/>
      <c r="C150" s="7" t="n"/>
      <c r="D150" s="7" t="n"/>
      <c r="E150" s="9" t="n"/>
      <c r="F150" s="7" t="n"/>
    </row>
    <row r="151">
      <c r="A151" s="7" t="n"/>
      <c r="B151" s="7" t="n"/>
      <c r="C151" s="7" t="n"/>
      <c r="D151" s="7" t="n"/>
      <c r="E151" s="9" t="n"/>
      <c r="F151" s="7" t="n"/>
    </row>
    <row r="152">
      <c r="A152" s="7" t="n"/>
      <c r="B152" s="7" t="n"/>
      <c r="C152" s="7" t="n"/>
      <c r="D152" s="7" t="n"/>
      <c r="E152" s="9" t="n"/>
      <c r="F152" s="7" t="n"/>
    </row>
    <row r="153">
      <c r="A153" s="7" t="n"/>
      <c r="B153" s="7" t="n"/>
      <c r="C153" s="7" t="n"/>
      <c r="D153" s="7" t="n"/>
      <c r="E153" s="9" t="n"/>
      <c r="F153" s="7" t="n"/>
    </row>
    <row r="154">
      <c r="A154" s="7" t="n"/>
      <c r="B154" s="7" t="n"/>
      <c r="C154" s="7" t="n"/>
      <c r="D154" s="7" t="n"/>
      <c r="E154" s="9" t="n"/>
      <c r="F154" s="7" t="n"/>
    </row>
    <row r="155">
      <c r="A155" s="7" t="n"/>
      <c r="B155" s="7" t="n"/>
      <c r="C155" s="7" t="n"/>
      <c r="D155" s="7" t="n"/>
      <c r="E155" s="9" t="n"/>
      <c r="F155" s="7" t="n"/>
    </row>
    <row r="156">
      <c r="A156" s="7" t="n"/>
      <c r="B156" s="7" t="n"/>
      <c r="C156" s="7" t="n"/>
      <c r="D156" s="7" t="n"/>
      <c r="E156" s="9" t="n"/>
      <c r="F156" s="7" t="n"/>
    </row>
    <row r="157">
      <c r="A157" s="7" t="n"/>
      <c r="B157" s="7" t="n"/>
      <c r="C157" s="7" t="n"/>
      <c r="D157" s="7" t="n"/>
      <c r="E157" s="9" t="n"/>
      <c r="F157" s="7" t="n"/>
    </row>
    <row r="158">
      <c r="A158" s="7" t="n"/>
      <c r="B158" s="7" t="n"/>
      <c r="C158" s="7" t="n"/>
      <c r="D158" s="7" t="n"/>
      <c r="E158" s="9" t="n"/>
      <c r="F158" s="7" t="n"/>
    </row>
    <row r="159">
      <c r="A159" s="7" t="n"/>
      <c r="B159" s="7" t="n"/>
      <c r="C159" s="7" t="n"/>
      <c r="D159" s="7" t="n"/>
      <c r="E159" s="9" t="n"/>
      <c r="F159" s="7" t="n"/>
    </row>
    <row r="160">
      <c r="A160" s="7" t="n"/>
      <c r="B160" s="7" t="n"/>
      <c r="C160" s="7" t="n"/>
      <c r="D160" s="7" t="n"/>
      <c r="E160" s="9" t="n"/>
      <c r="F160" s="7" t="n"/>
    </row>
    <row r="161">
      <c r="A161" s="7" t="n"/>
      <c r="B161" s="7" t="n"/>
      <c r="C161" s="7" t="n"/>
      <c r="D161" s="7" t="n"/>
      <c r="E161" s="9" t="n"/>
      <c r="F161" s="7" t="n"/>
    </row>
    <row r="162">
      <c r="A162" s="7" t="n"/>
      <c r="B162" s="7" t="n"/>
      <c r="C162" s="7" t="n"/>
      <c r="D162" s="7" t="n"/>
      <c r="E162" s="9" t="n"/>
      <c r="F162" s="7" t="n"/>
    </row>
    <row r="163">
      <c r="A163" s="7" t="n"/>
      <c r="B163" s="7" t="n"/>
      <c r="C163" s="7" t="n"/>
      <c r="D163" s="7" t="n"/>
      <c r="E163" s="9" t="n"/>
      <c r="F163" s="7" t="n"/>
    </row>
    <row r="164">
      <c r="A164" s="7" t="n"/>
      <c r="B164" s="7" t="n"/>
      <c r="C164" s="7" t="n"/>
      <c r="D164" s="7" t="n"/>
      <c r="E164" s="9" t="n"/>
      <c r="F164" s="7" t="n"/>
    </row>
    <row r="165">
      <c r="A165" s="7" t="n"/>
      <c r="B165" s="7" t="n"/>
      <c r="C165" s="7" t="n"/>
      <c r="D165" s="7" t="n"/>
      <c r="E165" s="9" t="n"/>
      <c r="F165" s="7" t="n"/>
    </row>
    <row r="166">
      <c r="A166" s="7" t="n"/>
      <c r="B166" s="7" t="n"/>
      <c r="C166" s="7" t="n"/>
      <c r="D166" s="7" t="n"/>
      <c r="E166" s="9" t="n"/>
      <c r="F166" s="7" t="n"/>
    </row>
    <row r="167">
      <c r="A167" s="7" t="n"/>
      <c r="B167" s="7" t="n"/>
      <c r="C167" s="7" t="n"/>
      <c r="D167" s="7" t="n"/>
      <c r="E167" s="9" t="n"/>
      <c r="F167" s="7" t="n"/>
    </row>
    <row r="168">
      <c r="A168" s="7" t="n"/>
      <c r="B168" s="7" t="n"/>
      <c r="C168" s="7" t="n"/>
      <c r="D168" s="7" t="n"/>
      <c r="E168" s="9" t="n"/>
      <c r="F168" s="7" t="n"/>
    </row>
    <row r="169">
      <c r="A169" s="7" t="n"/>
      <c r="B169" s="7" t="n"/>
      <c r="C169" s="7" t="n"/>
      <c r="D169" s="7" t="n"/>
      <c r="E169" s="9" t="n"/>
      <c r="F169" s="7" t="n"/>
    </row>
    <row r="170">
      <c r="A170" s="7" t="n"/>
      <c r="B170" s="7" t="n"/>
      <c r="C170" s="7" t="n"/>
      <c r="D170" s="7" t="n"/>
      <c r="E170" s="9" t="n"/>
      <c r="F170" s="7" t="n"/>
    </row>
    <row r="171">
      <c r="A171" s="7" t="n"/>
      <c r="B171" s="7" t="n"/>
      <c r="C171" s="7" t="n"/>
      <c r="D171" s="7" t="n"/>
      <c r="E171" s="9" t="n"/>
      <c r="F171" s="7" t="n"/>
    </row>
    <row r="172">
      <c r="A172" s="7" t="n"/>
      <c r="B172" s="7" t="n"/>
      <c r="C172" s="7" t="n"/>
      <c r="D172" s="7" t="n"/>
      <c r="E172" s="9" t="n"/>
      <c r="F172" s="7" t="n"/>
    </row>
    <row r="173">
      <c r="A173" s="7" t="n"/>
      <c r="B173" s="7" t="n"/>
      <c r="C173" s="7" t="n"/>
      <c r="D173" s="7" t="n"/>
      <c r="E173" s="9" t="n"/>
      <c r="F173" s="7" t="n"/>
    </row>
    <row r="174">
      <c r="A174" s="7" t="n"/>
      <c r="B174" s="7" t="n"/>
      <c r="C174" s="7" t="n"/>
      <c r="D174" s="7" t="n"/>
      <c r="E174" s="9" t="n"/>
      <c r="F174" s="7" t="n"/>
    </row>
    <row r="175">
      <c r="A175" s="7" t="n"/>
      <c r="B175" s="7" t="n"/>
      <c r="C175" s="7" t="n"/>
      <c r="D175" s="7" t="n"/>
      <c r="E175" s="9" t="n"/>
      <c r="F175" s="7" t="n"/>
    </row>
    <row r="176">
      <c r="A176" s="7" t="n"/>
      <c r="B176" s="7" t="n"/>
      <c r="C176" s="7" t="n"/>
      <c r="D176" s="7" t="n"/>
      <c r="E176" s="9" t="n"/>
      <c r="F176" s="7" t="n"/>
    </row>
    <row r="177">
      <c r="A177" s="7" t="n"/>
      <c r="B177" s="7" t="n"/>
      <c r="C177" s="7" t="n"/>
      <c r="D177" s="7" t="n"/>
      <c r="E177" s="9" t="n"/>
      <c r="F177" s="7" t="n"/>
    </row>
    <row r="178">
      <c r="A178" s="7" t="n"/>
      <c r="B178" s="7" t="n"/>
      <c r="C178" s="7" t="n"/>
      <c r="D178" s="7" t="n"/>
      <c r="E178" s="9" t="n"/>
      <c r="F178" s="7" t="n"/>
    </row>
    <row r="179">
      <c r="A179" s="7" t="n"/>
      <c r="B179" s="7" t="n"/>
      <c r="C179" s="7" t="n"/>
      <c r="D179" s="7" t="n"/>
      <c r="E179" s="9" t="n"/>
      <c r="F179" s="7" t="n"/>
    </row>
    <row r="180">
      <c r="A180" s="7" t="n"/>
      <c r="B180" s="7" t="n"/>
      <c r="C180" s="7" t="n"/>
      <c r="D180" s="7" t="n"/>
      <c r="E180" s="9" t="n"/>
      <c r="F180" s="7" t="n"/>
    </row>
    <row r="181">
      <c r="A181" s="7" t="n"/>
      <c r="B181" s="7" t="n"/>
      <c r="C181" s="7" t="n"/>
      <c r="D181" s="7" t="n"/>
      <c r="E181" s="9" t="n"/>
      <c r="F181" s="7" t="n"/>
    </row>
    <row r="182">
      <c r="A182" s="7" t="n"/>
      <c r="B182" s="7" t="n"/>
      <c r="C182" s="7" t="n"/>
      <c r="D182" s="7" t="n"/>
      <c r="E182" s="9" t="n"/>
      <c r="F182" s="7" t="n"/>
    </row>
    <row r="183">
      <c r="A183" s="7" t="n"/>
      <c r="B183" s="7" t="n"/>
      <c r="C183" s="7" t="n"/>
      <c r="D183" s="7" t="n"/>
      <c r="E183" s="9" t="n"/>
      <c r="F183" s="7" t="n"/>
    </row>
    <row r="184">
      <c r="A184" s="7" t="n"/>
      <c r="B184" s="7" t="n"/>
      <c r="C184" s="7" t="n"/>
      <c r="D184" s="7" t="n"/>
      <c r="E184" s="9" t="n"/>
      <c r="F184" s="7" t="n"/>
    </row>
    <row r="185">
      <c r="A185" s="7" t="n"/>
      <c r="B185" s="7" t="n"/>
      <c r="C185" s="7" t="n"/>
      <c r="D185" s="7" t="n"/>
      <c r="E185" s="9" t="n"/>
      <c r="F185" s="7" t="n"/>
    </row>
    <row r="186">
      <c r="A186" s="7" t="n"/>
      <c r="B186" s="7" t="n"/>
      <c r="C186" s="7" t="n"/>
      <c r="D186" s="7" t="n"/>
      <c r="E186" s="9" t="n"/>
      <c r="F186" s="7" t="n"/>
    </row>
    <row r="187">
      <c r="A187" s="7" t="n"/>
      <c r="B187" s="7" t="n"/>
      <c r="C187" s="7" t="n"/>
      <c r="D187" s="7" t="n"/>
      <c r="E187" s="9" t="n"/>
      <c r="F187" s="7" t="n"/>
    </row>
    <row r="188">
      <c r="A188" s="7" t="n"/>
      <c r="B188" s="7" t="n"/>
      <c r="C188" s="7" t="n"/>
      <c r="D188" s="7" t="n"/>
      <c r="E188" s="9" t="n"/>
      <c r="F188" s="7" t="n"/>
    </row>
    <row r="189">
      <c r="A189" s="7" t="n"/>
      <c r="B189" s="7" t="n"/>
      <c r="C189" s="7" t="n"/>
      <c r="D189" s="7" t="n"/>
      <c r="E189" s="9" t="n"/>
      <c r="F189" s="7" t="n"/>
    </row>
    <row r="190">
      <c r="A190" s="7" t="n"/>
      <c r="B190" s="7" t="n"/>
      <c r="C190" s="7" t="n"/>
      <c r="D190" s="7" t="n"/>
      <c r="E190" s="9" t="n"/>
      <c r="F190" s="7" t="n"/>
    </row>
    <row r="191">
      <c r="A191" s="7" t="n"/>
      <c r="B191" s="7" t="n"/>
      <c r="C191" s="7" t="n"/>
      <c r="D191" s="7" t="n"/>
      <c r="E191" s="9" t="n"/>
      <c r="F191" s="7" t="n"/>
    </row>
    <row r="192">
      <c r="A192" s="7" t="n"/>
      <c r="B192" s="7" t="n"/>
      <c r="C192" s="7" t="n"/>
      <c r="D192" s="7" t="n"/>
      <c r="E192" s="9" t="n"/>
      <c r="F192" s="7" t="n"/>
    </row>
    <row r="193">
      <c r="A193" s="7" t="n"/>
      <c r="B193" s="7" t="n"/>
      <c r="C193" s="7" t="n"/>
      <c r="D193" s="7" t="n"/>
      <c r="E193" s="9" t="n"/>
      <c r="F193" s="7" t="n"/>
    </row>
    <row r="194">
      <c r="A194" s="7" t="n"/>
      <c r="B194" s="7" t="n"/>
      <c r="C194" s="7" t="n"/>
      <c r="D194" s="7" t="n"/>
      <c r="E194" s="9" t="n"/>
      <c r="F194" s="7" t="n"/>
    </row>
    <row r="195">
      <c r="A195" s="7" t="n"/>
      <c r="B195" s="7" t="n"/>
      <c r="C195" s="7" t="n"/>
      <c r="D195" s="7" t="n"/>
      <c r="E195" s="9" t="n"/>
      <c r="F195" s="7" t="n"/>
    </row>
    <row r="196">
      <c r="A196" s="7" t="n"/>
      <c r="B196" s="7" t="n"/>
      <c r="C196" s="7" t="n"/>
      <c r="D196" s="7" t="n"/>
      <c r="E196" s="9" t="n"/>
      <c r="F196" s="7" t="n"/>
    </row>
    <row r="197">
      <c r="A197" s="7" t="n"/>
      <c r="B197" s="7" t="n"/>
      <c r="C197" s="7" t="n"/>
      <c r="D197" s="7" t="n"/>
      <c r="E197" s="9" t="n"/>
      <c r="F197" s="7" t="n"/>
    </row>
    <row r="198">
      <c r="A198" s="7" t="n"/>
      <c r="B198" s="7" t="n"/>
      <c r="C198" s="7" t="n"/>
      <c r="D198" s="7" t="n"/>
      <c r="E198" s="9" t="n"/>
      <c r="F198" s="7" t="n"/>
    </row>
    <row r="199">
      <c r="A199" s="7" t="n"/>
      <c r="B199" s="7" t="n"/>
      <c r="C199" s="7" t="n"/>
      <c r="D199" s="7" t="n"/>
      <c r="E199" s="9" t="n"/>
      <c r="F199" s="7" t="n"/>
    </row>
    <row r="200">
      <c r="A200" s="7" t="n"/>
      <c r="B200" s="7" t="n"/>
      <c r="C200" s="7" t="n"/>
      <c r="D200" s="7" t="n"/>
      <c r="E200" s="9" t="n"/>
      <c r="F200" s="7" t="n"/>
    </row>
    <row r="201">
      <c r="A201" s="7" t="n"/>
      <c r="B201" s="7" t="n"/>
      <c r="C201" s="7" t="n"/>
      <c r="D201" s="7" t="n"/>
      <c r="E201" s="9" t="n"/>
      <c r="F201" s="7" t="n"/>
    </row>
    <row r="202">
      <c r="A202" s="7" t="n"/>
      <c r="B202" s="7" t="n"/>
      <c r="C202" s="7" t="n"/>
      <c r="D202" s="7" t="n"/>
      <c r="E202" s="9" t="n"/>
      <c r="F202" s="7" t="n"/>
    </row>
    <row r="203">
      <c r="A203" s="7" t="n"/>
      <c r="B203" s="7" t="n"/>
      <c r="C203" s="7" t="n"/>
      <c r="D203" s="7" t="n"/>
      <c r="E203" s="9" t="n"/>
      <c r="F203" s="7" t="n"/>
    </row>
    <row r="204">
      <c r="A204" s="7" t="n"/>
      <c r="B204" s="7" t="n"/>
      <c r="C204" s="7" t="n"/>
      <c r="D204" s="7" t="n"/>
      <c r="E204" s="9" t="n"/>
      <c r="F204" s="7" t="n"/>
    </row>
    <row r="205">
      <c r="A205" s="7" t="n"/>
      <c r="B205" s="7" t="n"/>
      <c r="C205" s="7" t="n"/>
      <c r="D205" s="7" t="n"/>
      <c r="E205" s="9" t="n"/>
      <c r="F205" s="7" t="n"/>
    </row>
    <row r="206">
      <c r="A206" s="7" t="n"/>
      <c r="B206" s="7" t="n"/>
      <c r="C206" s="7" t="n"/>
      <c r="D206" s="7" t="n"/>
      <c r="E206" s="9" t="n"/>
      <c r="F206" s="7" t="n"/>
    </row>
    <row r="207">
      <c r="A207" s="7" t="n"/>
      <c r="B207" s="7" t="n"/>
      <c r="C207" s="7" t="n"/>
      <c r="D207" s="7" t="n"/>
      <c r="E207" s="9" t="n"/>
      <c r="F207" s="7" t="n"/>
    </row>
    <row r="208">
      <c r="A208" s="7" t="n"/>
      <c r="B208" s="7" t="n"/>
      <c r="C208" s="7" t="n"/>
      <c r="D208" s="7" t="n"/>
      <c r="E208" s="9" t="n"/>
      <c r="F208" s="7" t="n"/>
    </row>
    <row r="209">
      <c r="A209" s="7" t="n"/>
      <c r="B209" s="7" t="n"/>
      <c r="C209" s="7" t="n"/>
      <c r="D209" s="7" t="n"/>
      <c r="E209" s="9" t="n"/>
      <c r="F209" s="7" t="n"/>
    </row>
    <row r="210">
      <c r="A210" s="7" t="n"/>
      <c r="B210" s="7" t="n"/>
      <c r="C210" s="7" t="n"/>
      <c r="D210" s="7" t="n"/>
      <c r="E210" s="9" t="n"/>
      <c r="F210" s="7" t="n"/>
    </row>
    <row r="211">
      <c r="A211" s="7" t="n"/>
      <c r="B211" s="7" t="n"/>
      <c r="C211" s="7" t="n"/>
      <c r="D211" s="7" t="n"/>
      <c r="E211" s="9" t="n"/>
      <c r="F211" s="7" t="n"/>
    </row>
    <row r="212">
      <c r="A212" s="7" t="n"/>
      <c r="B212" s="7" t="n"/>
      <c r="C212" s="7" t="n"/>
      <c r="D212" s="7" t="n"/>
      <c r="E212" s="9" t="n"/>
      <c r="F212" s="7" t="n"/>
    </row>
    <row r="213">
      <c r="A213" s="7" t="n"/>
      <c r="B213" s="7" t="n"/>
      <c r="C213" s="7" t="n"/>
      <c r="D213" s="7" t="n"/>
      <c r="E213" s="9" t="n"/>
      <c r="F213" s="7" t="n"/>
    </row>
    <row r="214">
      <c r="A214" s="7" t="n"/>
      <c r="B214" s="7" t="n"/>
      <c r="C214" s="7" t="n"/>
      <c r="D214" s="7" t="n"/>
      <c r="E214" s="9" t="n"/>
      <c r="F214" s="7" t="n"/>
    </row>
    <row r="215">
      <c r="A215" s="7" t="n"/>
      <c r="B215" s="7" t="n"/>
      <c r="C215" s="7" t="n"/>
      <c r="D215" s="7" t="n"/>
      <c r="E215" s="9" t="n"/>
      <c r="F215" s="7" t="n"/>
    </row>
    <row r="216">
      <c r="A216" s="7" t="n"/>
      <c r="B216" s="7" t="n"/>
      <c r="C216" s="7" t="n"/>
      <c r="D216" s="7" t="n"/>
      <c r="E216" s="9" t="n"/>
      <c r="F216" s="7" t="n"/>
    </row>
    <row r="217">
      <c r="A217" s="7" t="n"/>
      <c r="B217" s="7" t="n"/>
      <c r="C217" s="7" t="n"/>
      <c r="D217" s="7" t="n"/>
      <c r="E217" s="9" t="n"/>
      <c r="F217" s="7" t="n"/>
    </row>
    <row r="218">
      <c r="A218" s="7" t="n"/>
      <c r="B218" s="7" t="n"/>
      <c r="C218" s="7" t="n"/>
      <c r="D218" s="7" t="n"/>
      <c r="E218" s="9" t="n"/>
      <c r="F218" s="7" t="n"/>
    </row>
    <row r="219">
      <c r="A219" s="7" t="n"/>
      <c r="B219" s="7" t="n"/>
      <c r="C219" s="7" t="n"/>
      <c r="D219" s="7" t="n"/>
      <c r="E219" s="9" t="n"/>
      <c r="F219" s="7" t="n"/>
    </row>
    <row r="220">
      <c r="A220" s="7" t="n"/>
      <c r="B220" s="7" t="n"/>
      <c r="C220" s="7" t="n"/>
      <c r="D220" s="7" t="n"/>
      <c r="E220" s="9" t="n"/>
      <c r="F220" s="7" t="n"/>
    </row>
    <row r="221">
      <c r="A221" s="7" t="n"/>
      <c r="B221" s="7" t="n"/>
      <c r="C221" s="7" t="n"/>
      <c r="D221" s="7" t="n"/>
      <c r="E221" s="9" t="n"/>
      <c r="F221" s="7" t="n"/>
    </row>
    <row r="222">
      <c r="A222" s="7" t="n"/>
      <c r="B222" s="7" t="n"/>
      <c r="C222" s="7" t="n"/>
      <c r="D222" s="7" t="n"/>
      <c r="E222" s="9" t="n"/>
      <c r="F222" s="7" t="n"/>
    </row>
    <row r="223">
      <c r="A223" s="7" t="n"/>
      <c r="B223" s="7" t="n"/>
      <c r="C223" s="7" t="n"/>
      <c r="D223" s="7" t="n"/>
      <c r="E223" s="9" t="n"/>
      <c r="F223" s="7" t="n"/>
    </row>
    <row r="224">
      <c r="A224" s="7" t="n"/>
      <c r="B224" s="7" t="n"/>
      <c r="C224" s="7" t="n"/>
      <c r="D224" s="7" t="n"/>
      <c r="E224" s="9" t="n"/>
      <c r="F224" s="7" t="n"/>
    </row>
    <row r="225">
      <c r="A225" s="7" t="n"/>
      <c r="B225" s="7" t="n"/>
      <c r="C225" s="7" t="n"/>
      <c r="D225" s="7" t="n"/>
      <c r="E225" s="9" t="n"/>
      <c r="F225" s="7" t="n"/>
    </row>
    <row r="226">
      <c r="A226" s="7" t="n"/>
      <c r="B226" s="7" t="n"/>
      <c r="C226" s="7" t="n"/>
      <c r="D226" s="7" t="n"/>
      <c r="E226" s="9" t="n"/>
      <c r="F226" s="7" t="n"/>
    </row>
    <row r="227">
      <c r="A227" s="7" t="n"/>
      <c r="B227" s="7" t="n"/>
      <c r="C227" s="7" t="n"/>
      <c r="D227" s="7" t="n"/>
      <c r="E227" s="9" t="n"/>
      <c r="F227" s="7" t="n"/>
    </row>
    <row r="228">
      <c r="A228" s="7" t="n"/>
      <c r="B228" s="7" t="n"/>
      <c r="C228" s="7" t="n"/>
      <c r="D228" s="7" t="n"/>
      <c r="E228" s="9" t="n"/>
      <c r="F228" s="7" t="n"/>
    </row>
    <row r="229">
      <c r="A229" s="7" t="n"/>
      <c r="B229" s="7" t="n"/>
      <c r="C229" s="7" t="n"/>
      <c r="D229" s="7" t="n"/>
      <c r="E229" s="9" t="n"/>
      <c r="F229" s="7" t="n"/>
    </row>
    <row r="230">
      <c r="A230" s="7" t="n"/>
      <c r="B230" s="7" t="n"/>
      <c r="C230" s="7" t="n"/>
      <c r="D230" s="7" t="n"/>
      <c r="E230" s="9" t="n"/>
      <c r="F230" s="7" t="n"/>
    </row>
    <row r="231">
      <c r="A231" s="7" t="n"/>
      <c r="B231" s="7" t="n"/>
      <c r="C231" s="7" t="n"/>
      <c r="D231" s="7" t="n"/>
      <c r="E231" s="9" t="n"/>
      <c r="F231" s="7" t="n"/>
    </row>
    <row r="232">
      <c r="A232" s="7" t="n"/>
      <c r="B232" s="7" t="n"/>
      <c r="C232" s="7" t="n"/>
      <c r="D232" s="7" t="n"/>
      <c r="E232" s="9" t="n"/>
      <c r="F232" s="7" t="n"/>
    </row>
    <row r="233">
      <c r="A233" s="7" t="n"/>
      <c r="B233" s="7" t="n"/>
      <c r="C233" s="7" t="n"/>
      <c r="D233" s="7" t="n"/>
      <c r="E233" s="9" t="n"/>
      <c r="F233" s="7" t="n"/>
    </row>
    <row r="234">
      <c r="A234" s="7" t="n"/>
      <c r="B234" s="7" t="n"/>
      <c r="C234" s="7" t="n"/>
      <c r="D234" s="7" t="n"/>
      <c r="E234" s="9" t="n"/>
      <c r="F234" s="7" t="n"/>
    </row>
    <row r="235">
      <c r="A235" s="7" t="n"/>
      <c r="B235" s="7" t="n"/>
      <c r="C235" s="7" t="n"/>
      <c r="D235" s="7" t="n"/>
      <c r="E235" s="9" t="n"/>
      <c r="F235" s="7" t="n"/>
    </row>
    <row r="236">
      <c r="A236" s="7" t="n"/>
      <c r="B236" s="7" t="n"/>
      <c r="C236" s="7" t="n"/>
      <c r="D236" s="7" t="n"/>
      <c r="E236" s="9" t="n"/>
      <c r="F236" s="7" t="n"/>
    </row>
    <row r="237">
      <c r="A237" s="7" t="n"/>
      <c r="B237" s="7" t="n"/>
      <c r="C237" s="7" t="n"/>
      <c r="D237" s="7" t="n"/>
      <c r="E237" s="9" t="n"/>
      <c r="F237" s="7" t="n"/>
    </row>
    <row r="238">
      <c r="A238" s="7" t="n"/>
      <c r="B238" s="7" t="n"/>
      <c r="C238" s="7" t="n"/>
      <c r="D238" s="7" t="n"/>
      <c r="E238" s="9" t="n"/>
      <c r="F238" s="7" t="n"/>
    </row>
    <row r="239">
      <c r="A239" s="7" t="n"/>
      <c r="B239" s="7" t="n"/>
      <c r="C239" s="7" t="n"/>
      <c r="D239" s="7" t="n"/>
      <c r="E239" s="9" t="n"/>
      <c r="F239" s="7" t="n"/>
    </row>
    <row r="240">
      <c r="A240" s="7" t="n"/>
      <c r="B240" s="7" t="n"/>
      <c r="C240" s="7" t="n"/>
      <c r="D240" s="7" t="n"/>
      <c r="E240" s="9" t="n"/>
      <c r="F240" s="7" t="n"/>
    </row>
    <row r="241">
      <c r="A241" s="7" t="n"/>
      <c r="B241" s="7" t="n"/>
      <c r="C241" s="7" t="n"/>
      <c r="D241" s="7" t="n"/>
      <c r="E241" s="9" t="n"/>
      <c r="F241" s="7" t="n"/>
    </row>
    <row r="242">
      <c r="A242" s="7" t="n"/>
      <c r="B242" s="7" t="n"/>
      <c r="C242" s="7" t="n"/>
      <c r="D242" s="7" t="n"/>
      <c r="E242" s="9" t="n"/>
      <c r="F242" s="7" t="n"/>
    </row>
    <row r="243">
      <c r="A243" s="7" t="n"/>
      <c r="B243" s="7" t="n"/>
      <c r="C243" s="7" t="n"/>
      <c r="D243" s="7" t="n"/>
      <c r="E243" s="9" t="n"/>
      <c r="F243" s="7" t="n"/>
    </row>
    <row r="244">
      <c r="A244" s="7" t="n"/>
      <c r="B244" s="7" t="n"/>
      <c r="C244" s="7" t="n"/>
      <c r="D244" s="7" t="n"/>
      <c r="E244" s="9" t="n"/>
      <c r="F244" s="7" t="n"/>
    </row>
    <row r="245">
      <c r="A245" s="7" t="n"/>
      <c r="B245" s="7" t="n"/>
      <c r="C245" s="7" t="n"/>
      <c r="D245" s="7" t="n"/>
      <c r="E245" s="9" t="n"/>
      <c r="F245" s="7" t="n"/>
    </row>
    <row r="246">
      <c r="A246" s="7" t="n"/>
      <c r="B246" s="7" t="n"/>
      <c r="C246" s="7" t="n"/>
      <c r="D246" s="7" t="n"/>
      <c r="E246" s="9" t="n"/>
      <c r="F246" s="7" t="n"/>
    </row>
    <row r="247">
      <c r="A247" s="7" t="n"/>
      <c r="B247" s="7" t="n"/>
      <c r="C247" s="7" t="n"/>
      <c r="D247" s="7" t="n"/>
      <c r="E247" s="9" t="n"/>
      <c r="F247" s="7" t="n"/>
    </row>
    <row r="248">
      <c r="A248" s="7" t="n"/>
      <c r="B248" s="7" t="n"/>
      <c r="C248" s="7" t="n"/>
      <c r="D248" s="7" t="n"/>
      <c r="E248" s="9" t="n"/>
      <c r="F248" s="7" t="n"/>
    </row>
    <row r="249">
      <c r="A249" s="7" t="n"/>
      <c r="B249" s="7" t="n"/>
      <c r="C249" s="7" t="n"/>
      <c r="D249" s="7" t="n"/>
      <c r="E249" s="9" t="n"/>
      <c r="F249" s="7" t="n"/>
    </row>
    <row r="250">
      <c r="A250" s="7" t="n"/>
      <c r="B250" s="7" t="n"/>
      <c r="C250" s="7" t="n"/>
      <c r="D250" s="7" t="n"/>
      <c r="E250" s="9" t="n"/>
      <c r="F250" s="7" t="n"/>
    </row>
    <row r="251">
      <c r="A251" s="7" t="n"/>
      <c r="B251" s="7" t="n"/>
      <c r="C251" s="7" t="n"/>
      <c r="D251" s="7" t="n"/>
      <c r="E251" s="9" t="n"/>
      <c r="F251" s="7" t="n"/>
    </row>
    <row r="252">
      <c r="A252" s="7" t="n"/>
      <c r="B252" s="7" t="n"/>
      <c r="C252" s="7" t="n"/>
      <c r="D252" s="7" t="n"/>
      <c r="E252" s="9" t="n"/>
      <c r="F252" s="7" t="n"/>
    </row>
    <row r="253">
      <c r="A253" s="7" t="n"/>
      <c r="B253" s="7" t="n"/>
      <c r="C253" s="7" t="n"/>
      <c r="D253" s="7" t="n"/>
      <c r="E253" s="9" t="n"/>
      <c r="F253" s="7" t="n"/>
    </row>
    <row r="254">
      <c r="A254" s="7" t="n"/>
      <c r="B254" s="7" t="n"/>
      <c r="C254" s="7" t="n"/>
      <c r="D254" s="7" t="n"/>
      <c r="E254" s="9" t="n"/>
      <c r="F254" s="7" t="n"/>
    </row>
    <row r="255">
      <c r="A255" s="7" t="n"/>
      <c r="B255" s="7" t="n"/>
      <c r="C255" s="7" t="n"/>
      <c r="D255" s="7" t="n"/>
      <c r="E255" s="9" t="n"/>
      <c r="F255" s="7" t="n"/>
    </row>
    <row r="256">
      <c r="A256" s="7" t="n"/>
      <c r="B256" s="7" t="n"/>
      <c r="C256" s="7" t="n"/>
      <c r="D256" s="7" t="n"/>
      <c r="E256" s="9" t="n"/>
      <c r="F256" s="7" t="n"/>
    </row>
    <row r="257">
      <c r="A257" s="7" t="n"/>
      <c r="B257" s="7" t="n"/>
      <c r="C257" s="7" t="n"/>
      <c r="D257" s="7" t="n"/>
      <c r="E257" s="9" t="n"/>
      <c r="F257" s="7" t="n"/>
    </row>
    <row r="258">
      <c r="A258" s="7" t="n"/>
      <c r="B258" s="7" t="n"/>
      <c r="C258" s="7" t="n"/>
      <c r="D258" s="7" t="n"/>
      <c r="E258" s="9" t="n"/>
      <c r="F258" s="7" t="n"/>
    </row>
    <row r="259">
      <c r="A259" s="7" t="n"/>
      <c r="B259" s="7" t="n"/>
      <c r="C259" s="7" t="n"/>
      <c r="D259" s="7" t="n"/>
      <c r="E259" s="9" t="n"/>
      <c r="F259" s="7" t="n"/>
    </row>
    <row r="260">
      <c r="A260" s="7" t="n"/>
      <c r="B260" s="7" t="n"/>
      <c r="C260" s="7" t="n"/>
      <c r="D260" s="7" t="n"/>
      <c r="E260" s="9" t="n"/>
      <c r="F260" s="7" t="n"/>
    </row>
    <row r="261">
      <c r="A261" s="7" t="n"/>
      <c r="B261" s="7" t="n"/>
      <c r="C261" s="7" t="n"/>
      <c r="D261" s="7" t="n"/>
      <c r="E261" s="9" t="n"/>
      <c r="F261" s="7" t="n"/>
    </row>
    <row r="262">
      <c r="A262" s="7" t="n"/>
      <c r="B262" s="7" t="n"/>
      <c r="C262" s="7" t="n"/>
      <c r="D262" s="7" t="n"/>
      <c r="E262" s="9" t="n"/>
      <c r="F262" s="7" t="n"/>
    </row>
    <row r="263">
      <c r="A263" s="7" t="n"/>
      <c r="B263" s="7" t="n"/>
      <c r="C263" s="7" t="n"/>
      <c r="D263" s="7" t="n"/>
      <c r="E263" s="9" t="n"/>
      <c r="F263" s="7" t="n"/>
    </row>
    <row r="264">
      <c r="A264" s="7" t="n"/>
      <c r="B264" s="7" t="n"/>
      <c r="C264" s="7" t="n"/>
      <c r="D264" s="7" t="n"/>
      <c r="E264" s="9" t="n"/>
      <c r="F264" s="7" t="n"/>
    </row>
    <row r="265">
      <c r="A265" s="7" t="n"/>
      <c r="B265" s="7" t="n"/>
      <c r="C265" s="7" t="n"/>
      <c r="D265" s="7" t="n"/>
      <c r="E265" s="9" t="n"/>
      <c r="F265" s="7" t="n"/>
    </row>
    <row r="266">
      <c r="A266" s="7" t="n"/>
      <c r="B266" s="7" t="n"/>
      <c r="C266" s="7" t="n"/>
      <c r="D266" s="7" t="n"/>
      <c r="E266" s="9" t="n"/>
      <c r="F266" s="7" t="n"/>
    </row>
    <row r="267">
      <c r="A267" s="7" t="n"/>
      <c r="B267" s="7" t="n"/>
      <c r="C267" s="7" t="n"/>
      <c r="D267" s="7" t="n"/>
      <c r="E267" s="9" t="n"/>
      <c r="F267" s="7" t="n"/>
    </row>
    <row r="268">
      <c r="A268" s="7" t="n"/>
      <c r="B268" s="7" t="n"/>
      <c r="C268" s="7" t="n"/>
      <c r="D268" s="7" t="n"/>
      <c r="E268" s="9" t="n"/>
      <c r="F268" s="7" t="n"/>
    </row>
    <row r="269">
      <c r="A269" s="7" t="n"/>
      <c r="B269" s="7" t="n"/>
      <c r="C269" s="7" t="n"/>
      <c r="D269" s="7" t="n"/>
      <c r="E269" s="9" t="n"/>
      <c r="F269" s="7" t="n"/>
    </row>
    <row r="270">
      <c r="A270" s="7" t="n"/>
      <c r="B270" s="7" t="n"/>
      <c r="C270" s="7" t="n"/>
      <c r="D270" s="7" t="n"/>
      <c r="E270" s="9" t="n"/>
      <c r="F270" s="7" t="n"/>
    </row>
    <row r="271">
      <c r="A271" s="7" t="n"/>
      <c r="B271" s="7" t="n"/>
      <c r="C271" s="7" t="n"/>
      <c r="D271" s="7" t="n"/>
      <c r="E271" s="9" t="n"/>
      <c r="F271" s="7" t="n"/>
    </row>
    <row r="272">
      <c r="A272" s="7" t="n"/>
      <c r="B272" s="7" t="n"/>
      <c r="C272" s="7" t="n"/>
      <c r="D272" s="7" t="n"/>
      <c r="E272" s="9" t="n"/>
      <c r="F272" s="7" t="n"/>
    </row>
    <row r="273">
      <c r="A273" s="7" t="n"/>
      <c r="B273" s="7" t="n"/>
      <c r="C273" s="7" t="n"/>
      <c r="D273" s="7" t="n"/>
      <c r="E273" s="9" t="n"/>
      <c r="F273" s="7" t="n"/>
    </row>
    <row r="274">
      <c r="A274" s="7" t="n"/>
      <c r="B274" s="7" t="n"/>
      <c r="C274" s="7" t="n"/>
      <c r="D274" s="7" t="n"/>
      <c r="E274" s="9" t="n"/>
      <c r="F274" s="7" t="n"/>
    </row>
    <row r="275">
      <c r="A275" s="7" t="n"/>
      <c r="B275" s="7" t="n"/>
      <c r="C275" s="7" t="n"/>
      <c r="D275" s="7" t="n"/>
      <c r="E275" s="9" t="n"/>
      <c r="F275" s="7" t="n"/>
    </row>
    <row r="276">
      <c r="A276" s="7" t="n"/>
      <c r="B276" s="7" t="n"/>
      <c r="C276" s="7" t="n"/>
      <c r="D276" s="7" t="n"/>
      <c r="E276" s="9" t="n"/>
      <c r="F276" s="7" t="n"/>
    </row>
    <row r="277">
      <c r="A277" s="7" t="n"/>
      <c r="B277" s="7" t="n"/>
      <c r="C277" s="7" t="n"/>
      <c r="D277" s="7" t="n"/>
      <c r="E277" s="9" t="n"/>
      <c r="F277" s="7" t="n"/>
    </row>
    <row r="278">
      <c r="A278" s="7" t="n"/>
      <c r="B278" s="7" t="n"/>
      <c r="C278" s="7" t="n"/>
      <c r="D278" s="7" t="n"/>
      <c r="E278" s="9" t="n"/>
      <c r="F278" s="7" t="n"/>
    </row>
    <row r="279">
      <c r="A279" s="7" t="n"/>
      <c r="B279" s="7" t="n"/>
      <c r="C279" s="7" t="n"/>
      <c r="D279" s="7" t="n"/>
      <c r="E279" s="9" t="n"/>
      <c r="F279" s="7" t="n"/>
    </row>
    <row r="280">
      <c r="A280" s="7" t="n"/>
      <c r="B280" s="7" t="n"/>
      <c r="C280" s="7" t="n"/>
      <c r="D280" s="7" t="n"/>
      <c r="E280" s="9" t="n"/>
      <c r="F280" s="7" t="n"/>
    </row>
    <row r="281">
      <c r="A281" s="7" t="n"/>
      <c r="B281" s="7" t="n"/>
      <c r="C281" s="7" t="n"/>
      <c r="D281" s="7" t="n"/>
      <c r="E281" s="9" t="n"/>
      <c r="F281" s="7" t="n"/>
    </row>
    <row r="282">
      <c r="A282" s="7" t="n"/>
      <c r="B282" s="7" t="n"/>
      <c r="C282" s="7" t="n"/>
      <c r="D282" s="7" t="n"/>
      <c r="E282" s="9" t="n"/>
      <c r="F282" s="7" t="n"/>
    </row>
    <row r="283">
      <c r="A283" s="7" t="n"/>
      <c r="B283" s="7" t="n"/>
      <c r="C283" s="7" t="n"/>
      <c r="D283" s="7" t="n"/>
      <c r="E283" s="9" t="n"/>
      <c r="F283" s="7" t="n"/>
    </row>
    <row r="284">
      <c r="A284" s="7" t="n"/>
      <c r="B284" s="7" t="n"/>
      <c r="C284" s="7" t="n"/>
      <c r="D284" s="7" t="n"/>
      <c r="E284" s="9" t="n"/>
      <c r="F284" s="7" t="n"/>
    </row>
    <row r="285">
      <c r="A285" s="7" t="n"/>
      <c r="B285" s="7" t="n"/>
      <c r="C285" s="7" t="n"/>
      <c r="D285" s="7" t="n"/>
      <c r="E285" s="9" t="n"/>
      <c r="F285" s="7" t="n"/>
    </row>
    <row r="286">
      <c r="A286" s="7" t="n"/>
      <c r="B286" s="7" t="n"/>
      <c r="C286" s="7" t="n"/>
      <c r="D286" s="7" t="n"/>
      <c r="E286" s="9" t="n"/>
      <c r="F286" s="7" t="n"/>
    </row>
    <row r="287">
      <c r="A287" s="7" t="n"/>
      <c r="B287" s="7" t="n"/>
      <c r="C287" s="7" t="n"/>
      <c r="D287" s="7" t="n"/>
      <c r="E287" s="9" t="n"/>
      <c r="F287" s="7" t="n"/>
    </row>
    <row r="288">
      <c r="A288" s="7" t="n"/>
      <c r="B288" s="7" t="n"/>
      <c r="C288" s="7" t="n"/>
      <c r="D288" s="7" t="n"/>
      <c r="E288" s="9" t="n"/>
      <c r="F288" s="7" t="n"/>
    </row>
    <row r="289">
      <c r="A289" s="7" t="n"/>
      <c r="B289" s="7" t="n"/>
      <c r="C289" s="7" t="n"/>
      <c r="D289" s="7" t="n"/>
      <c r="E289" s="9" t="n"/>
      <c r="F289" s="7" t="n"/>
    </row>
    <row r="290">
      <c r="A290" s="7" t="n"/>
      <c r="B290" s="7" t="n"/>
      <c r="C290" s="7" t="n"/>
      <c r="D290" s="7" t="n"/>
      <c r="E290" s="9" t="n"/>
      <c r="F290" s="7" t="n"/>
    </row>
    <row r="291">
      <c r="A291" s="7" t="n"/>
      <c r="B291" s="7" t="n"/>
      <c r="C291" s="7" t="n"/>
      <c r="D291" s="7" t="n"/>
      <c r="E291" s="9" t="n"/>
      <c r="F291" s="7" t="n"/>
    </row>
    <row r="292">
      <c r="A292" s="7" t="n"/>
      <c r="B292" s="7" t="n"/>
      <c r="C292" s="7" t="n"/>
      <c r="D292" s="7" t="n"/>
      <c r="E292" s="9" t="n"/>
      <c r="F292" s="7" t="n"/>
    </row>
    <row r="293">
      <c r="A293" s="7" t="n"/>
      <c r="B293" s="7" t="n"/>
      <c r="C293" s="7" t="n"/>
      <c r="D293" s="7" t="n"/>
      <c r="E293" s="9" t="n"/>
      <c r="F293" s="7" t="n"/>
    </row>
    <row r="294">
      <c r="A294" s="7" t="n"/>
      <c r="B294" s="7" t="n"/>
      <c r="C294" s="7" t="n"/>
      <c r="D294" s="7" t="n"/>
      <c r="E294" s="9" t="n"/>
      <c r="F294" s="7" t="n"/>
    </row>
    <row r="295">
      <c r="A295" s="7" t="n"/>
      <c r="B295" s="7" t="n"/>
      <c r="C295" s="7" t="n"/>
      <c r="D295" s="7" t="n"/>
      <c r="E295" s="9" t="n"/>
      <c r="F295" s="7" t="n"/>
    </row>
    <row r="296">
      <c r="A296" s="7" t="n"/>
      <c r="B296" s="7" t="n"/>
      <c r="C296" s="7" t="n"/>
      <c r="D296" s="7" t="n"/>
      <c r="E296" s="9" t="n"/>
      <c r="F296" s="7" t="n"/>
    </row>
    <row r="297">
      <c r="A297" s="7" t="n"/>
      <c r="B297" s="7" t="n"/>
      <c r="C297" s="7" t="n"/>
      <c r="D297" s="7" t="n"/>
      <c r="E297" s="9" t="n"/>
      <c r="F297" s="7" t="n"/>
    </row>
    <row r="298">
      <c r="A298" s="7" t="n"/>
      <c r="B298" s="7" t="n"/>
      <c r="C298" s="7" t="n"/>
      <c r="D298" s="7" t="n"/>
      <c r="E298" s="9" t="n"/>
      <c r="F298" s="7" t="n"/>
    </row>
    <row r="299">
      <c r="A299" s="7" t="n"/>
      <c r="B299" s="7" t="n"/>
      <c r="C299" s="7" t="n"/>
      <c r="D299" s="7" t="n"/>
      <c r="E299" s="9" t="n"/>
      <c r="F299" s="7" t="n"/>
    </row>
    <row r="300">
      <c r="A300" s="7" t="n"/>
      <c r="B300" s="7" t="n"/>
      <c r="C300" s="7" t="n"/>
      <c r="D300" s="7" t="n"/>
      <c r="E300" s="9" t="n"/>
      <c r="F300" s="7" t="n"/>
    </row>
    <row r="301">
      <c r="E301" s="13" t="n"/>
    </row>
    <row r="302">
      <c r="E302" s="13" t="n"/>
    </row>
    <row r="303">
      <c r="E303" s="13" t="n"/>
    </row>
    <row r="304">
      <c r="E304" s="13" t="n"/>
    </row>
    <row r="305">
      <c r="E305" s="13" t="n"/>
    </row>
    <row r="306">
      <c r="E306" s="13" t="n"/>
    </row>
    <row r="307">
      <c r="E307" s="13" t="n"/>
    </row>
    <row r="308">
      <c r="E308" s="13" t="n"/>
    </row>
    <row r="309">
      <c r="E309" s="13" t="n"/>
    </row>
    <row r="310">
      <c r="E310" s="13" t="n"/>
    </row>
    <row r="311">
      <c r="E311" s="13" t="n"/>
    </row>
    <row r="312">
      <c r="E312" s="13" t="n"/>
    </row>
    <row r="313">
      <c r="E313" s="13" t="n"/>
    </row>
    <row r="314">
      <c r="E314" s="13" t="n"/>
    </row>
    <row r="315">
      <c r="E315" s="13" t="n"/>
    </row>
    <row r="316">
      <c r="E316" s="13" t="n"/>
    </row>
    <row r="317">
      <c r="E317" s="13" t="n"/>
    </row>
    <row r="318">
      <c r="E318" s="13" t="n"/>
    </row>
    <row r="319">
      <c r="E319" s="13" t="n"/>
    </row>
    <row r="320">
      <c r="E320" s="13" t="n"/>
    </row>
    <row r="321">
      <c r="E321" s="13" t="n"/>
    </row>
    <row r="322">
      <c r="E322" s="13" t="n"/>
    </row>
    <row r="323">
      <c r="E323" s="13" t="n"/>
    </row>
    <row r="324">
      <c r="E324" s="13" t="n"/>
    </row>
    <row r="325">
      <c r="E325" s="13" t="n"/>
    </row>
    <row r="326">
      <c r="E326" s="13" t="n"/>
    </row>
    <row r="327">
      <c r="E327" s="13" t="n"/>
    </row>
    <row r="328">
      <c r="E328" s="13" t="n"/>
    </row>
    <row r="329">
      <c r="E329" s="13" t="n"/>
    </row>
    <row r="330">
      <c r="E330" s="13" t="n"/>
    </row>
    <row r="331">
      <c r="E331" s="13" t="n"/>
    </row>
    <row r="332">
      <c r="E332" s="13" t="n"/>
    </row>
    <row r="333">
      <c r="E333" s="13" t="n"/>
    </row>
    <row r="334">
      <c r="E334" s="13" t="n"/>
    </row>
    <row r="335">
      <c r="E335" s="13" t="n"/>
    </row>
    <row r="336">
      <c r="E336" s="13" t="n"/>
    </row>
    <row r="337">
      <c r="E337" s="13" t="n"/>
    </row>
    <row r="338">
      <c r="E338" s="13" t="n"/>
    </row>
    <row r="339">
      <c r="E339" s="13" t="n"/>
    </row>
    <row r="340">
      <c r="E340" s="13" t="n"/>
    </row>
    <row r="341">
      <c r="E341" s="13" t="n"/>
    </row>
    <row r="342">
      <c r="E342" s="13" t="n"/>
    </row>
    <row r="343">
      <c r="E343" s="13" t="n"/>
    </row>
    <row r="344">
      <c r="E344" s="13" t="n"/>
    </row>
    <row r="345">
      <c r="E345" s="13" t="n"/>
    </row>
    <row r="346">
      <c r="E346" s="13" t="n"/>
    </row>
    <row r="347">
      <c r="E347" s="13" t="n"/>
    </row>
    <row r="348">
      <c r="E348" s="13" t="n"/>
    </row>
    <row r="349">
      <c r="E349" s="13" t="n"/>
    </row>
    <row r="350">
      <c r="E350" s="13" t="n"/>
    </row>
    <row r="351">
      <c r="E351" s="13" t="n"/>
    </row>
    <row r="352">
      <c r="E352" s="13" t="n"/>
    </row>
    <row r="353">
      <c r="E353" s="13" t="n"/>
    </row>
    <row r="354">
      <c r="E354" s="13" t="n"/>
    </row>
    <row r="355">
      <c r="E355" s="13" t="n"/>
    </row>
    <row r="356">
      <c r="E356" s="13" t="n"/>
    </row>
    <row r="357">
      <c r="E357" s="13" t="n"/>
    </row>
    <row r="358">
      <c r="E358" s="13" t="n"/>
    </row>
    <row r="359">
      <c r="E359" s="13" t="n"/>
    </row>
    <row r="360">
      <c r="E360" s="13" t="n"/>
    </row>
    <row r="361">
      <c r="E361" s="13" t="n"/>
    </row>
    <row r="362">
      <c r="E362" s="13" t="n"/>
    </row>
    <row r="363">
      <c r="E363" s="13" t="n"/>
    </row>
    <row r="364">
      <c r="E364" s="13" t="n"/>
    </row>
    <row r="365">
      <c r="E365" s="13" t="n"/>
    </row>
    <row r="366">
      <c r="E366" s="13" t="n"/>
    </row>
    <row r="367">
      <c r="E367" s="13" t="n"/>
    </row>
    <row r="368">
      <c r="E368" s="13" t="n"/>
    </row>
    <row r="369">
      <c r="E369" s="13" t="n"/>
    </row>
    <row r="370">
      <c r="E370" s="13" t="n"/>
    </row>
    <row r="371">
      <c r="E371" s="13" t="n"/>
    </row>
    <row r="372">
      <c r="E372" s="13" t="n"/>
    </row>
    <row r="373">
      <c r="E373" s="13" t="n"/>
    </row>
    <row r="374">
      <c r="E374" s="13" t="n"/>
    </row>
    <row r="375">
      <c r="E375" s="13" t="n"/>
    </row>
    <row r="376">
      <c r="E376" s="13" t="n"/>
    </row>
    <row r="377">
      <c r="E377" s="13" t="n"/>
    </row>
    <row r="378">
      <c r="E378" s="13" t="n"/>
    </row>
    <row r="379">
      <c r="E379" s="13" t="n"/>
    </row>
    <row r="380">
      <c r="E380" s="13" t="n"/>
    </row>
    <row r="381">
      <c r="E381" s="13" t="n"/>
    </row>
    <row r="382">
      <c r="E382" s="13" t="n"/>
    </row>
    <row r="383">
      <c r="E383" s="13" t="n"/>
    </row>
    <row r="384">
      <c r="E384" s="13" t="n"/>
    </row>
    <row r="385">
      <c r="E385" s="13" t="n"/>
    </row>
    <row r="386">
      <c r="E386" s="13" t="n"/>
    </row>
    <row r="387">
      <c r="E387" s="13" t="n"/>
    </row>
    <row r="388">
      <c r="E388" s="13" t="n"/>
    </row>
    <row r="389">
      <c r="E389" s="13" t="n"/>
    </row>
    <row r="390">
      <c r="E390" s="13" t="n"/>
    </row>
    <row r="391">
      <c r="E391" s="13" t="n"/>
    </row>
    <row r="392">
      <c r="E392" s="13" t="n"/>
    </row>
    <row r="393">
      <c r="E393" s="13" t="n"/>
    </row>
    <row r="394">
      <c r="E394" s="13" t="n"/>
    </row>
    <row r="395">
      <c r="E395" s="13" t="n"/>
    </row>
    <row r="396">
      <c r="E396" s="13" t="n"/>
    </row>
    <row r="397">
      <c r="E397" s="13" t="n"/>
    </row>
    <row r="398">
      <c r="E398" s="13" t="n"/>
    </row>
    <row r="399">
      <c r="E399" s="13" t="n"/>
    </row>
    <row r="400">
      <c r="E400" s="13" t="n"/>
    </row>
    <row r="401">
      <c r="E401" s="13" t="n"/>
    </row>
    <row r="402">
      <c r="E402" s="13" t="n"/>
    </row>
    <row r="403">
      <c r="E403" s="13" t="n"/>
    </row>
    <row r="404">
      <c r="E404" s="13" t="n"/>
    </row>
    <row r="405">
      <c r="E405" s="13" t="n"/>
    </row>
    <row r="406">
      <c r="E406" s="13" t="n"/>
    </row>
    <row r="407">
      <c r="E407" s="13" t="n"/>
    </row>
    <row r="408">
      <c r="E408" s="13" t="n"/>
    </row>
    <row r="409">
      <c r="E409" s="13" t="n"/>
    </row>
    <row r="410">
      <c r="E410" s="13" t="n"/>
    </row>
    <row r="411">
      <c r="E411" s="13" t="n"/>
    </row>
    <row r="412">
      <c r="E412" s="13" t="n"/>
    </row>
    <row r="413">
      <c r="E413" s="13" t="n"/>
    </row>
    <row r="414">
      <c r="E414" s="13" t="n"/>
    </row>
    <row r="415">
      <c r="E415" s="13" t="n"/>
    </row>
    <row r="416">
      <c r="E416" s="13" t="n"/>
    </row>
    <row r="417">
      <c r="E417" s="13" t="n"/>
    </row>
    <row r="418">
      <c r="E418" s="13" t="n"/>
    </row>
    <row r="419">
      <c r="E419" s="13" t="n"/>
    </row>
    <row r="420">
      <c r="E420" s="13" t="n"/>
    </row>
    <row r="421">
      <c r="E421" s="13" t="n"/>
    </row>
    <row r="422">
      <c r="E422" s="13" t="n"/>
    </row>
    <row r="423">
      <c r="E423" s="13" t="n"/>
    </row>
    <row r="424">
      <c r="E424" s="13" t="n"/>
    </row>
    <row r="425">
      <c r="E425" s="13" t="n"/>
    </row>
    <row r="426">
      <c r="E426" s="13" t="n"/>
    </row>
    <row r="427">
      <c r="E427" s="13" t="n"/>
    </row>
    <row r="428">
      <c r="E428" s="13" t="n"/>
    </row>
    <row r="429">
      <c r="E429" s="13" t="n"/>
    </row>
    <row r="430">
      <c r="E430" s="13" t="n"/>
    </row>
    <row r="431">
      <c r="E431" s="13" t="n"/>
    </row>
    <row r="432">
      <c r="E432" s="13" t="n"/>
    </row>
    <row r="433">
      <c r="E433" s="13" t="n"/>
    </row>
    <row r="434">
      <c r="E434" s="13" t="n"/>
    </row>
    <row r="435">
      <c r="E435" s="13" t="n"/>
    </row>
    <row r="436">
      <c r="E436" s="13" t="n"/>
    </row>
    <row r="437">
      <c r="E437" s="13" t="n"/>
    </row>
    <row r="438">
      <c r="E438" s="13" t="n"/>
    </row>
    <row r="439">
      <c r="E439" s="13" t="n"/>
    </row>
    <row r="440">
      <c r="E440" s="13" t="n"/>
    </row>
    <row r="441">
      <c r="E441" s="13" t="n"/>
    </row>
    <row r="442">
      <c r="E442" s="13" t="n"/>
    </row>
    <row r="443">
      <c r="E443" s="13" t="n"/>
    </row>
    <row r="444">
      <c r="E444" s="13" t="n"/>
    </row>
    <row r="445">
      <c r="E445" s="13" t="n"/>
    </row>
    <row r="446">
      <c r="E446" s="13" t="n"/>
    </row>
    <row r="447">
      <c r="E447" s="13" t="n"/>
    </row>
    <row r="448">
      <c r="E448" s="13" t="n"/>
    </row>
    <row r="449">
      <c r="E449" s="13" t="n"/>
    </row>
    <row r="450">
      <c r="E450" s="13" t="n"/>
    </row>
    <row r="451">
      <c r="E451" s="13" t="n"/>
    </row>
    <row r="452">
      <c r="E452" s="13" t="n"/>
    </row>
    <row r="453">
      <c r="E453" s="13" t="n"/>
    </row>
    <row r="454">
      <c r="E454" s="13" t="n"/>
    </row>
    <row r="455">
      <c r="E455" s="13" t="n"/>
    </row>
    <row r="456">
      <c r="E456" s="13" t="n"/>
    </row>
    <row r="457">
      <c r="E457" s="13" t="n"/>
    </row>
    <row r="458">
      <c r="E458" s="13" t="n"/>
    </row>
    <row r="459">
      <c r="E459" s="13" t="n"/>
    </row>
    <row r="460">
      <c r="E460" s="13" t="n"/>
    </row>
    <row r="461">
      <c r="E461" s="13" t="n"/>
    </row>
    <row r="462">
      <c r="E462" s="13" t="n"/>
    </row>
    <row r="463">
      <c r="E463" s="13" t="n"/>
    </row>
    <row r="464">
      <c r="E464" s="13" t="n"/>
    </row>
    <row r="465">
      <c r="E465" s="13" t="n"/>
    </row>
    <row r="466">
      <c r="E466" s="13" t="n"/>
    </row>
    <row r="467">
      <c r="E467" s="13" t="n"/>
    </row>
    <row r="468">
      <c r="E468" s="13" t="n"/>
    </row>
    <row r="469">
      <c r="E469" s="13" t="n"/>
    </row>
    <row r="470">
      <c r="E470" s="13" t="n"/>
    </row>
    <row r="471">
      <c r="E471" s="13" t="n"/>
    </row>
    <row r="472">
      <c r="E472" s="13" t="n"/>
    </row>
    <row r="473">
      <c r="E473" s="13" t="n"/>
    </row>
    <row r="474">
      <c r="E474" s="13" t="n"/>
    </row>
    <row r="475">
      <c r="E475" s="13" t="n"/>
    </row>
    <row r="476">
      <c r="E476" s="13" t="n"/>
    </row>
    <row r="477">
      <c r="E477" s="13" t="n"/>
    </row>
    <row r="478">
      <c r="E478" s="13" t="n"/>
    </row>
    <row r="479">
      <c r="E479" s="13" t="n"/>
    </row>
    <row r="480">
      <c r="E480" s="13" t="n"/>
    </row>
    <row r="481">
      <c r="E481" s="13" t="n"/>
    </row>
    <row r="482">
      <c r="E482" s="13" t="n"/>
    </row>
    <row r="483">
      <c r="E483" s="13" t="n"/>
    </row>
    <row r="484">
      <c r="E484" s="13" t="n"/>
    </row>
    <row r="485">
      <c r="E485" s="13" t="n"/>
    </row>
    <row r="486">
      <c r="E486" s="13" t="n"/>
    </row>
    <row r="487">
      <c r="E487" s="13" t="n"/>
    </row>
    <row r="488">
      <c r="E488" s="13" t="n"/>
    </row>
    <row r="489">
      <c r="E489" s="13" t="n"/>
    </row>
    <row r="490">
      <c r="E490" s="13" t="n"/>
    </row>
    <row r="491">
      <c r="E491" s="13" t="n"/>
    </row>
    <row r="492">
      <c r="E492" s="13" t="n"/>
    </row>
    <row r="493">
      <c r="E493" s="13" t="n"/>
    </row>
    <row r="494">
      <c r="E494" s="13" t="n"/>
    </row>
    <row r="495">
      <c r="E495" s="13" t="n"/>
    </row>
    <row r="496">
      <c r="E496" s="13" t="n"/>
    </row>
    <row r="497">
      <c r="E497" s="13" t="n"/>
    </row>
    <row r="498">
      <c r="E498" s="13" t="n"/>
    </row>
    <row r="499">
      <c r="E499" s="13" t="n"/>
    </row>
    <row r="500">
      <c r="E500" s="13" t="n"/>
    </row>
    <row r="501">
      <c r="E501" s="13" t="n"/>
    </row>
    <row r="502">
      <c r="E502" s="13" t="n"/>
    </row>
    <row r="503">
      <c r="E503" s="13" t="n"/>
    </row>
    <row r="504">
      <c r="E504" s="13" t="n"/>
    </row>
    <row r="505">
      <c r="E505" s="13" t="n"/>
    </row>
    <row r="506">
      <c r="E506" s="13" t="n"/>
    </row>
    <row r="507">
      <c r="E507" s="13" t="n"/>
    </row>
    <row r="508">
      <c r="E508" s="13" t="n"/>
    </row>
    <row r="509">
      <c r="E509" s="13" t="n"/>
    </row>
    <row r="510">
      <c r="E510" s="13" t="n"/>
    </row>
    <row r="511">
      <c r="E511" s="13" t="n"/>
    </row>
    <row r="512">
      <c r="E512" s="13" t="n"/>
    </row>
    <row r="513">
      <c r="E513" s="13" t="n"/>
    </row>
    <row r="514">
      <c r="E514" s="13" t="n"/>
    </row>
    <row r="515">
      <c r="E515" s="13" t="n"/>
    </row>
    <row r="516">
      <c r="E516" s="13" t="n"/>
    </row>
    <row r="517">
      <c r="E517" s="13" t="n"/>
    </row>
    <row r="518">
      <c r="E518" s="13" t="n"/>
    </row>
    <row r="519">
      <c r="E519" s="13" t="n"/>
    </row>
    <row r="520">
      <c r="E520" s="13" t="n"/>
    </row>
    <row r="521">
      <c r="E521" s="13" t="n"/>
    </row>
    <row r="522">
      <c r="E522" s="13" t="n"/>
    </row>
    <row r="523">
      <c r="E523" s="13" t="n"/>
    </row>
    <row r="524">
      <c r="E524" s="13" t="n"/>
    </row>
    <row r="525">
      <c r="E525" s="13" t="n"/>
    </row>
    <row r="526">
      <c r="E526" s="13" t="n"/>
    </row>
    <row r="527">
      <c r="E527" s="13" t="n"/>
    </row>
    <row r="528">
      <c r="E528" s="13" t="n"/>
    </row>
    <row r="529">
      <c r="E529" s="13" t="n"/>
    </row>
    <row r="530">
      <c r="E530" s="13" t="n"/>
    </row>
    <row r="531">
      <c r="E531" s="13" t="n"/>
    </row>
    <row r="532">
      <c r="E532" s="13" t="n"/>
    </row>
    <row r="533">
      <c r="E533" s="13" t="n"/>
    </row>
    <row r="534">
      <c r="E534" s="13" t="n"/>
    </row>
    <row r="535">
      <c r="E535" s="13" t="n"/>
    </row>
    <row r="536">
      <c r="E536" s="13" t="n"/>
    </row>
    <row r="537">
      <c r="E537" s="13" t="n"/>
    </row>
    <row r="538">
      <c r="E538" s="13" t="n"/>
    </row>
    <row r="539">
      <c r="E539" s="13" t="n"/>
    </row>
    <row r="540">
      <c r="E540" s="13" t="n"/>
    </row>
    <row r="541">
      <c r="E541" s="13" t="n"/>
    </row>
    <row r="542">
      <c r="E542" s="13" t="n"/>
    </row>
    <row r="543">
      <c r="E543" s="13" t="n"/>
    </row>
    <row r="544">
      <c r="E544" s="13" t="n"/>
    </row>
    <row r="545">
      <c r="E545" s="13" t="n"/>
    </row>
    <row r="546">
      <c r="E546" s="13" t="n"/>
    </row>
    <row r="547">
      <c r="E547" s="13" t="n"/>
    </row>
    <row r="548">
      <c r="E548" s="13" t="n"/>
    </row>
    <row r="549">
      <c r="E549" s="13" t="n"/>
    </row>
    <row r="550">
      <c r="E550" s="13" t="n"/>
    </row>
    <row r="551">
      <c r="E551" s="13" t="n"/>
    </row>
    <row r="552">
      <c r="E552" s="13" t="n"/>
    </row>
    <row r="553">
      <c r="E553" s="13" t="n"/>
    </row>
    <row r="554">
      <c r="E554" s="13" t="n"/>
    </row>
    <row r="555">
      <c r="E555" s="13" t="n"/>
    </row>
    <row r="556">
      <c r="E556" s="13" t="n"/>
    </row>
    <row r="557">
      <c r="E557" s="13" t="n"/>
    </row>
    <row r="558">
      <c r="E558" s="13" t="n"/>
    </row>
    <row r="559">
      <c r="E559" s="13" t="n"/>
    </row>
    <row r="560">
      <c r="E560" s="13" t="n"/>
    </row>
    <row r="561">
      <c r="E561" s="13" t="n"/>
    </row>
    <row r="562">
      <c r="E562" s="13" t="n"/>
    </row>
    <row r="563">
      <c r="E563" s="13" t="n"/>
    </row>
    <row r="564">
      <c r="E564" s="13" t="n"/>
    </row>
    <row r="565">
      <c r="E565" s="13" t="n"/>
    </row>
    <row r="566">
      <c r="E566" s="13" t="n"/>
    </row>
    <row r="567">
      <c r="E567" s="13" t="n"/>
    </row>
    <row r="568">
      <c r="E568" s="13" t="n"/>
    </row>
    <row r="569">
      <c r="E569" s="13" t="n"/>
    </row>
    <row r="570">
      <c r="E570" s="13" t="n"/>
    </row>
    <row r="571">
      <c r="E571" s="13" t="n"/>
    </row>
    <row r="572">
      <c r="E572" s="13" t="n"/>
    </row>
    <row r="573">
      <c r="E573" s="13" t="n"/>
    </row>
    <row r="574">
      <c r="E574" s="13" t="n"/>
    </row>
    <row r="575">
      <c r="E575" s="13" t="n"/>
    </row>
    <row r="576">
      <c r="E576" s="13" t="n"/>
    </row>
    <row r="577">
      <c r="E577" s="13" t="n"/>
    </row>
    <row r="578">
      <c r="E578" s="13" t="n"/>
    </row>
    <row r="579">
      <c r="E579" s="13" t="n"/>
    </row>
    <row r="580">
      <c r="E580" s="13" t="n"/>
    </row>
    <row r="581">
      <c r="E581" s="13" t="n"/>
    </row>
    <row r="582">
      <c r="E582" s="13" t="n"/>
    </row>
    <row r="583">
      <c r="E583" s="13" t="n"/>
    </row>
    <row r="584">
      <c r="E584" s="13" t="n"/>
    </row>
    <row r="585">
      <c r="E585" s="13" t="n"/>
    </row>
    <row r="586">
      <c r="E586" s="13" t="n"/>
    </row>
    <row r="587">
      <c r="E587" s="13" t="n"/>
    </row>
    <row r="588">
      <c r="E588" s="13" t="n"/>
    </row>
    <row r="589">
      <c r="E589" s="13" t="n"/>
    </row>
    <row r="590">
      <c r="E590" s="13" t="n"/>
    </row>
    <row r="591">
      <c r="E591" s="13" t="n"/>
    </row>
    <row r="592">
      <c r="E592" s="13" t="n"/>
    </row>
    <row r="593">
      <c r="E593" s="13" t="n"/>
    </row>
    <row r="594">
      <c r="E594" s="13" t="n"/>
    </row>
    <row r="595">
      <c r="E595" s="13" t="n"/>
    </row>
    <row r="596">
      <c r="E596" s="13" t="n"/>
    </row>
    <row r="597">
      <c r="E597" s="13" t="n"/>
    </row>
    <row r="598">
      <c r="E598" s="13" t="n"/>
    </row>
    <row r="599">
      <c r="E599" s="13" t="n"/>
    </row>
    <row r="600">
      <c r="E600" s="13" t="n"/>
    </row>
    <row r="601">
      <c r="E601" s="13" t="n"/>
    </row>
    <row r="602">
      <c r="E602" s="13" t="n"/>
    </row>
    <row r="603">
      <c r="E603" s="13" t="n"/>
    </row>
    <row r="604">
      <c r="E604" s="13" t="n"/>
    </row>
    <row r="605">
      <c r="E605" s="13" t="n"/>
    </row>
    <row r="606">
      <c r="E606" s="13" t="n"/>
    </row>
    <row r="607">
      <c r="E607" s="13" t="n"/>
    </row>
    <row r="608">
      <c r="E608" s="13" t="n"/>
    </row>
    <row r="609">
      <c r="E609" s="13" t="n"/>
    </row>
    <row r="610">
      <c r="E610" s="13" t="n"/>
    </row>
    <row r="611">
      <c r="E611" s="13" t="n"/>
    </row>
    <row r="612">
      <c r="E612" s="13" t="n"/>
    </row>
    <row r="613">
      <c r="E613" s="13" t="n"/>
    </row>
    <row r="614">
      <c r="E614" s="13" t="n"/>
    </row>
    <row r="615">
      <c r="E615" s="13" t="n"/>
    </row>
    <row r="616">
      <c r="E616" s="13" t="n"/>
    </row>
    <row r="617">
      <c r="E617" s="13" t="n"/>
    </row>
    <row r="618">
      <c r="E618" s="13" t="n"/>
    </row>
    <row r="619">
      <c r="E619" s="13" t="n"/>
    </row>
    <row r="620">
      <c r="E620" s="13" t="n"/>
    </row>
    <row r="621">
      <c r="E621" s="13" t="n"/>
    </row>
    <row r="622">
      <c r="E622" s="13" t="n"/>
    </row>
    <row r="623">
      <c r="E623" s="13" t="n"/>
    </row>
    <row r="624">
      <c r="E624" s="13" t="n"/>
    </row>
    <row r="625">
      <c r="E625" s="13" t="n"/>
    </row>
    <row r="626">
      <c r="E626" s="13" t="n"/>
    </row>
    <row r="627">
      <c r="E627" s="13" t="n"/>
    </row>
    <row r="628">
      <c r="E628" s="13" t="n"/>
    </row>
    <row r="629">
      <c r="E629" s="13" t="n"/>
    </row>
    <row r="630">
      <c r="E630" s="13" t="n"/>
    </row>
    <row r="631">
      <c r="E631" s="13" t="n"/>
    </row>
    <row r="632">
      <c r="E632" s="13" t="n"/>
    </row>
    <row r="633">
      <c r="E633" s="13" t="n"/>
    </row>
    <row r="634">
      <c r="E634" s="13" t="n"/>
    </row>
    <row r="635">
      <c r="E635" s="13" t="n"/>
    </row>
    <row r="636">
      <c r="E636" s="13" t="n"/>
    </row>
    <row r="637">
      <c r="E637" s="13" t="n"/>
    </row>
    <row r="638">
      <c r="E638" s="13" t="n"/>
    </row>
    <row r="639">
      <c r="E639" s="13" t="n"/>
    </row>
    <row r="640">
      <c r="E640" s="13" t="n"/>
    </row>
    <row r="641">
      <c r="E641" s="13" t="n"/>
    </row>
    <row r="642">
      <c r="E642" s="13" t="n"/>
    </row>
    <row r="643">
      <c r="E643" s="13" t="n"/>
    </row>
    <row r="644">
      <c r="E644" s="13" t="n"/>
    </row>
    <row r="645">
      <c r="E645" s="13" t="n"/>
    </row>
    <row r="646">
      <c r="E646" s="13" t="n"/>
    </row>
    <row r="647">
      <c r="E647" s="13" t="n"/>
    </row>
    <row r="648">
      <c r="E648" s="13" t="n"/>
    </row>
    <row r="649">
      <c r="E649" s="13" t="n"/>
    </row>
    <row r="650">
      <c r="E650" s="13" t="n"/>
    </row>
    <row r="651">
      <c r="E651" s="13" t="n"/>
    </row>
    <row r="652">
      <c r="E652" s="13" t="n"/>
    </row>
    <row r="653">
      <c r="E653" s="13" t="n"/>
    </row>
    <row r="654">
      <c r="E654" s="13" t="n"/>
    </row>
    <row r="655">
      <c r="E655" s="13" t="n"/>
    </row>
    <row r="656">
      <c r="E656" s="13" t="n"/>
    </row>
    <row r="657">
      <c r="E657" s="13" t="n"/>
    </row>
    <row r="658">
      <c r="E658" s="13" t="n"/>
    </row>
    <row r="659">
      <c r="E659" s="13" t="n"/>
    </row>
    <row r="660">
      <c r="E660" s="13" t="n"/>
    </row>
    <row r="661">
      <c r="E661" s="13" t="n"/>
    </row>
    <row r="662">
      <c r="E662" s="13" t="n"/>
    </row>
    <row r="663">
      <c r="E663" s="13" t="n"/>
    </row>
    <row r="664">
      <c r="E664" s="13" t="n"/>
    </row>
    <row r="665">
      <c r="E665" s="13" t="n"/>
    </row>
    <row r="666">
      <c r="E666" s="13" t="n"/>
    </row>
    <row r="667">
      <c r="E667" s="13" t="n"/>
    </row>
    <row r="668">
      <c r="E668" s="13" t="n"/>
    </row>
    <row r="669">
      <c r="E669" s="13" t="n"/>
    </row>
    <row r="670">
      <c r="E670" s="13" t="n"/>
    </row>
    <row r="671">
      <c r="E671" s="13" t="n"/>
    </row>
    <row r="672">
      <c r="E672" s="13" t="n"/>
    </row>
    <row r="673">
      <c r="E673" s="13" t="n"/>
    </row>
    <row r="674">
      <c r="E674" s="13" t="n"/>
    </row>
    <row r="675">
      <c r="E675" s="13" t="n"/>
    </row>
    <row r="676">
      <c r="E676" s="13" t="n"/>
    </row>
    <row r="677">
      <c r="E677" s="13" t="n"/>
    </row>
    <row r="678">
      <c r="E678" s="13" t="n"/>
    </row>
    <row r="679">
      <c r="E679" s="13" t="n"/>
    </row>
    <row r="680">
      <c r="E680" s="13" t="n"/>
    </row>
    <row r="681">
      <c r="E681" s="13" t="n"/>
    </row>
    <row r="682">
      <c r="E682" s="13" t="n"/>
    </row>
    <row r="683">
      <c r="E683" s="13" t="n"/>
    </row>
    <row r="684">
      <c r="E684" s="13" t="n"/>
    </row>
    <row r="685">
      <c r="E685" s="13" t="n"/>
    </row>
    <row r="686">
      <c r="E686" s="13" t="n"/>
    </row>
    <row r="687">
      <c r="E687" s="13" t="n"/>
    </row>
    <row r="688">
      <c r="E688" s="13" t="n"/>
    </row>
    <row r="689">
      <c r="E689" s="13" t="n"/>
    </row>
    <row r="690">
      <c r="E690" s="13" t="n"/>
    </row>
    <row r="691">
      <c r="E691" s="13" t="n"/>
    </row>
    <row r="692">
      <c r="E692" s="13" t="n"/>
    </row>
    <row r="693">
      <c r="E693" s="13" t="n"/>
    </row>
    <row r="694">
      <c r="E694" s="13" t="n"/>
    </row>
    <row r="695">
      <c r="E695" s="13" t="n"/>
    </row>
    <row r="696">
      <c r="E696" s="13" t="n"/>
    </row>
    <row r="697">
      <c r="E697" s="13" t="n"/>
    </row>
    <row r="698">
      <c r="E698" s="13" t="n"/>
    </row>
    <row r="699">
      <c r="E699" s="13" t="n"/>
    </row>
    <row r="700">
      <c r="E700" s="13" t="n"/>
    </row>
    <row r="701">
      <c r="E701" s="13" t="n"/>
    </row>
    <row r="702">
      <c r="E702" s="13" t="n"/>
    </row>
    <row r="703">
      <c r="E703" s="13" t="n"/>
    </row>
    <row r="704">
      <c r="E704" s="13" t="n"/>
    </row>
    <row r="705">
      <c r="E705" s="13" t="n"/>
    </row>
    <row r="706">
      <c r="E706" s="13" t="n"/>
    </row>
    <row r="707">
      <c r="E707" s="13" t="n"/>
    </row>
    <row r="708">
      <c r="E708" s="13" t="n"/>
    </row>
    <row r="709">
      <c r="E709" s="13" t="n"/>
    </row>
    <row r="710">
      <c r="E710" s="13" t="n"/>
    </row>
    <row r="711">
      <c r="E711" s="13" t="n"/>
    </row>
    <row r="712">
      <c r="E712" s="13" t="n"/>
    </row>
    <row r="713">
      <c r="E713" s="13" t="n"/>
    </row>
    <row r="714">
      <c r="E714" s="13" t="n"/>
    </row>
    <row r="715">
      <c r="E715" s="13" t="n"/>
    </row>
    <row r="716">
      <c r="E716" s="13" t="n"/>
    </row>
    <row r="717">
      <c r="E717" s="13" t="n"/>
    </row>
    <row r="718">
      <c r="E718" s="13" t="n"/>
    </row>
    <row r="719">
      <c r="E719" s="13" t="n"/>
    </row>
    <row r="720">
      <c r="E720" s="13" t="n"/>
    </row>
    <row r="721">
      <c r="E721" s="13" t="n"/>
    </row>
    <row r="722">
      <c r="E722" s="13" t="n"/>
    </row>
    <row r="723">
      <c r="E723" s="13" t="n"/>
    </row>
    <row r="724">
      <c r="E724" s="13" t="n"/>
    </row>
    <row r="725">
      <c r="E725" s="13" t="n"/>
    </row>
    <row r="726">
      <c r="E726" s="13" t="n"/>
    </row>
    <row r="727">
      <c r="E727" s="13" t="n"/>
    </row>
    <row r="728">
      <c r="E728" s="13" t="n"/>
    </row>
    <row r="729">
      <c r="E729" s="13" t="n"/>
    </row>
    <row r="730">
      <c r="E730" s="13" t="n"/>
    </row>
    <row r="731">
      <c r="E731" s="13" t="n"/>
    </row>
    <row r="732">
      <c r="E732" s="13" t="n"/>
    </row>
    <row r="733">
      <c r="E733" s="13" t="n"/>
    </row>
    <row r="734">
      <c r="E734" s="13" t="n"/>
    </row>
    <row r="735">
      <c r="E735" s="13" t="n"/>
    </row>
    <row r="736">
      <c r="E736" s="13" t="n"/>
    </row>
    <row r="737">
      <c r="E737" s="13" t="n"/>
    </row>
    <row r="738">
      <c r="E738" s="13" t="n"/>
    </row>
    <row r="739">
      <c r="E739" s="13" t="n"/>
    </row>
    <row r="740">
      <c r="E740" s="13" t="n"/>
    </row>
    <row r="741">
      <c r="E741" s="13" t="n"/>
    </row>
    <row r="742">
      <c r="E742" s="13" t="n"/>
    </row>
    <row r="743">
      <c r="E743" s="13" t="n"/>
    </row>
    <row r="744">
      <c r="E744" s="13" t="n"/>
    </row>
    <row r="745">
      <c r="E745" s="13" t="n"/>
    </row>
    <row r="746">
      <c r="E746" s="13" t="n"/>
    </row>
    <row r="747">
      <c r="E747" s="13" t="n"/>
    </row>
    <row r="748">
      <c r="E748" s="13" t="n"/>
    </row>
    <row r="749">
      <c r="E749" s="13" t="n"/>
    </row>
    <row r="750">
      <c r="E750" s="13" t="n"/>
    </row>
    <row r="751">
      <c r="E751" s="13" t="n"/>
    </row>
    <row r="752">
      <c r="E752" s="13" t="n"/>
    </row>
    <row r="753">
      <c r="E753" s="13" t="n"/>
    </row>
    <row r="754">
      <c r="E754" s="13" t="n"/>
    </row>
    <row r="755">
      <c r="E755" s="13" t="n"/>
    </row>
    <row r="756">
      <c r="E756" s="13" t="n"/>
    </row>
    <row r="757">
      <c r="E757" s="13" t="n"/>
    </row>
    <row r="758">
      <c r="E758" s="13" t="n"/>
    </row>
    <row r="759">
      <c r="E759" s="13" t="n"/>
    </row>
    <row r="760">
      <c r="E760" s="13" t="n"/>
    </row>
    <row r="761">
      <c r="E761" s="13" t="n"/>
    </row>
    <row r="762">
      <c r="E762" s="13" t="n"/>
    </row>
    <row r="763">
      <c r="E763" s="13" t="n"/>
    </row>
    <row r="764">
      <c r="E764" s="13" t="n"/>
    </row>
    <row r="765">
      <c r="E765" s="13" t="n"/>
    </row>
    <row r="766">
      <c r="E766" s="13" t="n"/>
    </row>
    <row r="767">
      <c r="E767" s="13" t="n"/>
    </row>
    <row r="768">
      <c r="E768" s="13" t="n"/>
    </row>
    <row r="769">
      <c r="E769" s="13" t="n"/>
    </row>
    <row r="770">
      <c r="E770" s="13" t="n"/>
    </row>
    <row r="771">
      <c r="E771" s="13" t="n"/>
    </row>
    <row r="772">
      <c r="E772" s="13" t="n"/>
    </row>
    <row r="773">
      <c r="E773" s="13" t="n"/>
    </row>
    <row r="774">
      <c r="E774" s="13" t="n"/>
    </row>
    <row r="775">
      <c r="E775" s="13" t="n"/>
    </row>
    <row r="776">
      <c r="E776" s="13" t="n"/>
    </row>
    <row r="777">
      <c r="E777" s="13" t="n"/>
    </row>
    <row r="778">
      <c r="E778" s="13" t="n"/>
    </row>
    <row r="779">
      <c r="E779" s="13" t="n"/>
    </row>
    <row r="780">
      <c r="E780" s="13" t="n"/>
    </row>
    <row r="781">
      <c r="E781" s="13" t="n"/>
    </row>
    <row r="782">
      <c r="E782" s="13" t="n"/>
    </row>
    <row r="783">
      <c r="E783" s="13" t="n"/>
    </row>
    <row r="784">
      <c r="E784" s="13" t="n"/>
    </row>
    <row r="785">
      <c r="E785" s="13" t="n"/>
    </row>
    <row r="786">
      <c r="E786" s="13" t="n"/>
    </row>
    <row r="787">
      <c r="E787" s="13" t="n"/>
    </row>
    <row r="788">
      <c r="E788" s="13" t="n"/>
    </row>
    <row r="789">
      <c r="E789" s="13" t="n"/>
    </row>
    <row r="790">
      <c r="E790" s="13" t="n"/>
    </row>
    <row r="791">
      <c r="E791" s="13" t="n"/>
    </row>
    <row r="792">
      <c r="E792" s="13" t="n"/>
    </row>
    <row r="793">
      <c r="E793" s="13" t="n"/>
    </row>
    <row r="794">
      <c r="E794" s="13" t="n"/>
    </row>
    <row r="795">
      <c r="E795" s="13" t="n"/>
    </row>
    <row r="796">
      <c r="E796" s="13" t="n"/>
    </row>
    <row r="797">
      <c r="E797" s="13" t="n"/>
    </row>
    <row r="798">
      <c r="E798" s="13" t="n"/>
    </row>
    <row r="799">
      <c r="E799" s="13" t="n"/>
    </row>
    <row r="800">
      <c r="E800" s="13" t="n"/>
    </row>
    <row r="801">
      <c r="E801" s="13" t="n"/>
    </row>
    <row r="802">
      <c r="E802" s="13" t="n"/>
    </row>
    <row r="803">
      <c r="E803" s="13" t="n"/>
    </row>
    <row r="804">
      <c r="E804" s="13" t="n"/>
    </row>
    <row r="805">
      <c r="E805" s="13" t="n"/>
    </row>
    <row r="806">
      <c r="E806" s="13" t="n"/>
    </row>
    <row r="807">
      <c r="E807" s="13" t="n"/>
    </row>
    <row r="808">
      <c r="E808" s="13" t="n"/>
    </row>
    <row r="809">
      <c r="E809" s="13" t="n"/>
    </row>
    <row r="810">
      <c r="E810" s="13" t="n"/>
    </row>
    <row r="811">
      <c r="E811" s="13" t="n"/>
    </row>
    <row r="812">
      <c r="E812" s="13" t="n"/>
    </row>
    <row r="813">
      <c r="E813" s="13" t="n"/>
    </row>
    <row r="814">
      <c r="E814" s="13" t="n"/>
    </row>
    <row r="815">
      <c r="E815" s="13" t="n"/>
    </row>
    <row r="816">
      <c r="E816" s="13" t="n"/>
    </row>
    <row r="817">
      <c r="E817" s="13" t="n"/>
    </row>
    <row r="818">
      <c r="E818" s="13" t="n"/>
    </row>
    <row r="819">
      <c r="E819" s="13" t="n"/>
    </row>
    <row r="820">
      <c r="E820" s="13" t="n"/>
    </row>
    <row r="821">
      <c r="E821" s="13" t="n"/>
    </row>
    <row r="822">
      <c r="E822" s="13" t="n"/>
    </row>
    <row r="823">
      <c r="E823" s="13" t="n"/>
    </row>
    <row r="824">
      <c r="E824" s="13" t="n"/>
    </row>
    <row r="825">
      <c r="E825" s="13" t="n"/>
    </row>
    <row r="826">
      <c r="E826" s="13" t="n"/>
    </row>
    <row r="827">
      <c r="E827" s="13" t="n"/>
    </row>
    <row r="828">
      <c r="E828" s="13" t="n"/>
    </row>
    <row r="829">
      <c r="E829" s="13" t="n"/>
    </row>
    <row r="830">
      <c r="E830" s="13" t="n"/>
    </row>
    <row r="831">
      <c r="E831" s="13" t="n"/>
    </row>
    <row r="832">
      <c r="E832" s="13" t="n"/>
    </row>
    <row r="833">
      <c r="E833" s="13" t="n"/>
    </row>
    <row r="834">
      <c r="E834" s="13" t="n"/>
    </row>
    <row r="835">
      <c r="E835" s="13" t="n"/>
    </row>
    <row r="836">
      <c r="E836" s="13" t="n"/>
    </row>
    <row r="837">
      <c r="E837" s="13" t="n"/>
    </row>
    <row r="838">
      <c r="E838" s="13" t="n"/>
    </row>
    <row r="839">
      <c r="E839" s="13" t="n"/>
    </row>
    <row r="840">
      <c r="E840" s="13" t="n"/>
    </row>
    <row r="841">
      <c r="E841" s="13" t="n"/>
    </row>
    <row r="842">
      <c r="E842" s="13" t="n"/>
    </row>
    <row r="843">
      <c r="E843" s="13" t="n"/>
    </row>
    <row r="844">
      <c r="E844" s="13" t="n"/>
    </row>
    <row r="845">
      <c r="E845" s="13" t="n"/>
    </row>
    <row r="846">
      <c r="E846" s="13" t="n"/>
    </row>
    <row r="847">
      <c r="E847" s="13" t="n"/>
    </row>
    <row r="848">
      <c r="E848" s="13" t="n"/>
    </row>
    <row r="849">
      <c r="E849" s="13" t="n"/>
    </row>
    <row r="850">
      <c r="E850" s="13" t="n"/>
    </row>
    <row r="851">
      <c r="E851" s="13" t="n"/>
    </row>
    <row r="852">
      <c r="E852" s="13" t="n"/>
    </row>
    <row r="853">
      <c r="E853" s="13" t="n"/>
    </row>
    <row r="854">
      <c r="E854" s="13" t="n"/>
    </row>
    <row r="855">
      <c r="E855" s="13" t="n"/>
    </row>
    <row r="856">
      <c r="E856" s="13" t="n"/>
    </row>
    <row r="857">
      <c r="E857" s="13" t="n"/>
    </row>
    <row r="858">
      <c r="E858" s="13" t="n"/>
    </row>
    <row r="859">
      <c r="E859" s="13" t="n"/>
    </row>
    <row r="860">
      <c r="E860" s="13" t="n"/>
    </row>
    <row r="861">
      <c r="E861" s="13" t="n"/>
    </row>
    <row r="862">
      <c r="E862" s="13" t="n"/>
    </row>
    <row r="863">
      <c r="E863" s="13" t="n"/>
    </row>
    <row r="864">
      <c r="E864" s="13" t="n"/>
    </row>
    <row r="865">
      <c r="E865" s="13" t="n"/>
    </row>
    <row r="866">
      <c r="E866" s="13" t="n"/>
    </row>
    <row r="867">
      <c r="E867" s="13" t="n"/>
    </row>
    <row r="868">
      <c r="E868" s="13" t="n"/>
    </row>
    <row r="869">
      <c r="E869" s="13" t="n"/>
    </row>
    <row r="870">
      <c r="E870" s="13" t="n"/>
    </row>
    <row r="871">
      <c r="E871" s="13" t="n"/>
    </row>
    <row r="872">
      <c r="E872" s="13" t="n"/>
    </row>
    <row r="873">
      <c r="E873" s="13" t="n"/>
    </row>
    <row r="874">
      <c r="E874" s="13" t="n"/>
    </row>
    <row r="875">
      <c r="E875" s="13" t="n"/>
    </row>
    <row r="876">
      <c r="E876" s="13" t="n"/>
    </row>
    <row r="877">
      <c r="E877" s="13" t="n"/>
    </row>
    <row r="878">
      <c r="E878" s="13" t="n"/>
    </row>
    <row r="879">
      <c r="E879" s="13" t="n"/>
    </row>
    <row r="880">
      <c r="E880" s="13" t="n"/>
    </row>
    <row r="881">
      <c r="E881" s="13" t="n"/>
    </row>
    <row r="882">
      <c r="E882" s="13" t="n"/>
    </row>
    <row r="883">
      <c r="E883" s="13" t="n"/>
    </row>
    <row r="884">
      <c r="E884" s="13" t="n"/>
    </row>
    <row r="885">
      <c r="E885" s="13" t="n"/>
    </row>
    <row r="886">
      <c r="E886" s="13" t="n"/>
    </row>
    <row r="887">
      <c r="E887" s="13" t="n"/>
    </row>
    <row r="888">
      <c r="E888" s="13" t="n"/>
    </row>
    <row r="889">
      <c r="E889" s="13" t="n"/>
    </row>
    <row r="890">
      <c r="E890" s="13" t="n"/>
    </row>
    <row r="891">
      <c r="E891" s="13" t="n"/>
    </row>
    <row r="892">
      <c r="E892" s="13" t="n"/>
    </row>
    <row r="893">
      <c r="E893" s="13" t="n"/>
    </row>
    <row r="894">
      <c r="E894" s="13" t="n"/>
    </row>
    <row r="895">
      <c r="E895" s="13" t="n"/>
    </row>
    <row r="896">
      <c r="E896" s="13" t="n"/>
    </row>
    <row r="897">
      <c r="E897" s="13" t="n"/>
    </row>
    <row r="898">
      <c r="E898" s="13" t="n"/>
    </row>
    <row r="899">
      <c r="E899" s="13" t="n"/>
    </row>
    <row r="900">
      <c r="E900" s="13" t="n"/>
    </row>
    <row r="901">
      <c r="E901" s="13" t="n"/>
    </row>
    <row r="902">
      <c r="E902" s="13" t="n"/>
    </row>
    <row r="903">
      <c r="E903" s="13" t="n"/>
    </row>
    <row r="904">
      <c r="E904" s="13" t="n"/>
    </row>
    <row r="905">
      <c r="E905" s="13" t="n"/>
    </row>
    <row r="906">
      <c r="E906" s="13" t="n"/>
    </row>
    <row r="907">
      <c r="E907" s="13" t="n"/>
    </row>
    <row r="908">
      <c r="E908" s="13" t="n"/>
    </row>
    <row r="909">
      <c r="E909" s="13" t="n"/>
    </row>
    <row r="910">
      <c r="E910" s="13" t="n"/>
    </row>
    <row r="911">
      <c r="E911" s="13" t="n"/>
    </row>
    <row r="912">
      <c r="E912" s="13" t="n"/>
    </row>
    <row r="913">
      <c r="E913" s="13" t="n"/>
    </row>
    <row r="914">
      <c r="E914" s="13" t="n"/>
    </row>
    <row r="915">
      <c r="E915" s="13" t="n"/>
    </row>
    <row r="916">
      <c r="E916" s="13" t="n"/>
    </row>
    <row r="917">
      <c r="E917" s="13" t="n"/>
    </row>
    <row r="918">
      <c r="E918" s="13" t="n"/>
    </row>
    <row r="919">
      <c r="E919" s="13" t="n"/>
    </row>
    <row r="920">
      <c r="E920" s="13" t="n"/>
    </row>
    <row r="921">
      <c r="E921" s="13" t="n"/>
    </row>
    <row r="922">
      <c r="E922" s="13" t="n"/>
    </row>
    <row r="923">
      <c r="E923" s="13" t="n"/>
    </row>
    <row r="924">
      <c r="E924" s="13" t="n"/>
    </row>
    <row r="925">
      <c r="E925" s="13" t="n"/>
    </row>
    <row r="926">
      <c r="E926" s="13" t="n"/>
    </row>
    <row r="927">
      <c r="E927" s="13" t="n"/>
    </row>
    <row r="928">
      <c r="E928" s="13" t="n"/>
    </row>
    <row r="929">
      <c r="E929" s="13" t="n"/>
    </row>
    <row r="930">
      <c r="E930" s="13" t="n"/>
    </row>
    <row r="931">
      <c r="E931" s="13" t="n"/>
    </row>
    <row r="932">
      <c r="E932" s="13" t="n"/>
    </row>
    <row r="933">
      <c r="E933" s="13" t="n"/>
    </row>
    <row r="934">
      <c r="E934" s="13" t="n"/>
    </row>
    <row r="935">
      <c r="E935" s="13" t="n"/>
    </row>
    <row r="936">
      <c r="E936" s="13" t="n"/>
    </row>
    <row r="937">
      <c r="E937" s="13" t="n"/>
    </row>
    <row r="938">
      <c r="E938" s="13" t="n"/>
    </row>
    <row r="939">
      <c r="E939" s="13" t="n"/>
    </row>
    <row r="940">
      <c r="E940" s="13" t="n"/>
    </row>
    <row r="941">
      <c r="E941" s="13" t="n"/>
    </row>
    <row r="942">
      <c r="E942" s="13" t="n"/>
    </row>
    <row r="943">
      <c r="E943" s="13" t="n"/>
    </row>
    <row r="944">
      <c r="E944" s="13" t="n"/>
    </row>
    <row r="945">
      <c r="E945" s="13" t="n"/>
    </row>
    <row r="946">
      <c r="E946" s="13" t="n"/>
    </row>
    <row r="947">
      <c r="E947" s="13" t="n"/>
    </row>
    <row r="948">
      <c r="E948" s="13" t="n"/>
    </row>
    <row r="949">
      <c r="E949" s="13" t="n"/>
    </row>
    <row r="950">
      <c r="E950" s="13" t="n"/>
    </row>
    <row r="951">
      <c r="E951" s="13" t="n"/>
    </row>
    <row r="952">
      <c r="E952" s="13" t="n"/>
    </row>
    <row r="953">
      <c r="E953" s="13" t="n"/>
    </row>
    <row r="954">
      <c r="E954" s="13" t="n"/>
    </row>
    <row r="955">
      <c r="E955" s="13" t="n"/>
    </row>
    <row r="956">
      <c r="E956" s="13" t="n"/>
    </row>
    <row r="957">
      <c r="E957" s="13" t="n"/>
    </row>
    <row r="958">
      <c r="E958" s="13" t="n"/>
    </row>
    <row r="959">
      <c r="E959" s="13" t="n"/>
    </row>
    <row r="960">
      <c r="E960" s="13" t="n"/>
    </row>
    <row r="961">
      <c r="E961" s="13" t="n"/>
    </row>
    <row r="962">
      <c r="E962" s="13" t="n"/>
    </row>
    <row r="963">
      <c r="E963" s="13" t="n"/>
    </row>
    <row r="964">
      <c r="E964" s="13" t="n"/>
    </row>
    <row r="965">
      <c r="E965" s="13" t="n"/>
    </row>
    <row r="966">
      <c r="E966" s="13" t="n"/>
    </row>
    <row r="967">
      <c r="E967" s="13" t="n"/>
    </row>
    <row r="968">
      <c r="E968" s="13" t="n"/>
    </row>
    <row r="969">
      <c r="E969" s="13" t="n"/>
    </row>
    <row r="970">
      <c r="E970" s="13" t="n"/>
    </row>
    <row r="971">
      <c r="E971" s="13" t="n"/>
    </row>
    <row r="972">
      <c r="E972" s="13" t="n"/>
    </row>
    <row r="973">
      <c r="E973" s="13" t="n"/>
    </row>
    <row r="974">
      <c r="E974" s="13" t="n"/>
    </row>
    <row r="975">
      <c r="E975" s="13" t="n"/>
    </row>
    <row r="976">
      <c r="E976" s="13" t="n"/>
    </row>
    <row r="977">
      <c r="E977" s="13" t="n"/>
    </row>
    <row r="978">
      <c r="E978" s="13" t="n"/>
    </row>
    <row r="979">
      <c r="E979" s="13" t="n"/>
    </row>
    <row r="980">
      <c r="E980" s="13" t="n"/>
    </row>
    <row r="981">
      <c r="E981" s="13" t="n"/>
    </row>
    <row r="982">
      <c r="E982" s="13" t="n"/>
    </row>
    <row r="983">
      <c r="E983" s="13" t="n"/>
    </row>
    <row r="984">
      <c r="E984" s="13" t="n"/>
    </row>
    <row r="985">
      <c r="E985" s="13" t="n"/>
    </row>
    <row r="986">
      <c r="E986" s="13" t="n"/>
    </row>
    <row r="987">
      <c r="E987" s="13" t="n"/>
    </row>
    <row r="988">
      <c r="E988" s="13" t="n"/>
    </row>
    <row r="989">
      <c r="E989" s="13" t="n"/>
    </row>
    <row r="990">
      <c r="E990" s="13" t="n"/>
    </row>
    <row r="991">
      <c r="E991" s="13" t="n"/>
    </row>
    <row r="992">
      <c r="E992" s="13" t="n"/>
    </row>
    <row r="993">
      <c r="E993" s="13" t="n"/>
    </row>
    <row r="994">
      <c r="E994" s="13" t="n"/>
    </row>
    <row r="995">
      <c r="E995" s="13" t="n"/>
    </row>
    <row r="996">
      <c r="E996" s="13" t="n"/>
    </row>
    <row r="997">
      <c r="E997" s="13" t="n"/>
    </row>
    <row r="998">
      <c r="E998" s="13" t="n"/>
    </row>
    <row r="999">
      <c r="E999" s="13" t="n"/>
    </row>
    <row r="1000">
      <c r="E1000" s="13" t="n"/>
    </row>
    <row r="1001">
      <c r="E1001" s="13" t="n"/>
    </row>
    <row r="1002">
      <c r="E1002" s="13" t="n"/>
    </row>
    <row r="1003">
      <c r="E1003" s="13" t="n"/>
    </row>
    <row r="1004">
      <c r="E1004" s="13" t="n"/>
    </row>
    <row r="1005">
      <c r="E1005" s="13" t="n"/>
    </row>
    <row r="1006">
      <c r="E1006" s="13" t="n"/>
    </row>
    <row r="1007">
      <c r="E1007" s="13" t="n"/>
    </row>
    <row r="1008">
      <c r="E1008" s="13" t="n"/>
    </row>
    <row r="1009">
      <c r="E1009" s="13" t="n"/>
    </row>
    <row r="1010">
      <c r="E1010" s="13" t="n"/>
    </row>
    <row r="1011">
      <c r="E1011" s="13" t="n"/>
    </row>
    <row r="1012">
      <c r="E1012" s="13" t="n"/>
    </row>
    <row r="1013">
      <c r="E1013" s="13" t="n"/>
    </row>
    <row r="1014">
      <c r="E1014" s="13" t="n"/>
    </row>
    <row r="1015">
      <c r="E1015" s="13" t="n"/>
    </row>
    <row r="1016">
      <c r="E1016" s="13" t="n"/>
    </row>
    <row r="1017">
      <c r="E1017" s="13" t="n"/>
    </row>
    <row r="1018">
      <c r="E1018" s="13" t="n"/>
    </row>
    <row r="1019">
      <c r="E1019" s="13" t="n"/>
    </row>
    <row r="1020">
      <c r="E1020" s="13" t="n"/>
    </row>
    <row r="1021">
      <c r="E1021" s="13" t="n"/>
    </row>
    <row r="1022">
      <c r="E1022" s="13" t="n"/>
    </row>
    <row r="1023">
      <c r="E1023" s="13" t="n"/>
    </row>
    <row r="1024">
      <c r="E1024" s="13" t="n"/>
    </row>
    <row r="1025">
      <c r="E1025" s="13" t="n"/>
    </row>
    <row r="1026">
      <c r="E1026" s="13" t="n"/>
    </row>
    <row r="1027">
      <c r="E1027" s="13" t="n"/>
    </row>
    <row r="1028">
      <c r="E1028" s="13" t="n"/>
    </row>
    <row r="1029">
      <c r="E1029" s="13" t="n"/>
    </row>
    <row r="1030">
      <c r="E1030" s="13" t="n"/>
    </row>
    <row r="1031">
      <c r="E1031" s="13" t="n"/>
    </row>
    <row r="1032">
      <c r="E1032" s="13" t="n"/>
    </row>
    <row r="1033">
      <c r="E1033" s="13" t="n"/>
    </row>
    <row r="1034">
      <c r="E1034" s="13" t="n"/>
    </row>
    <row r="1035">
      <c r="E1035" s="13" t="n"/>
    </row>
    <row r="1036">
      <c r="E1036" s="13" t="n"/>
    </row>
    <row r="1037">
      <c r="E1037" s="13" t="n"/>
    </row>
    <row r="1038">
      <c r="E1038" s="13" t="n"/>
    </row>
    <row r="1039">
      <c r="E1039" s="13" t="n"/>
    </row>
    <row r="1040">
      <c r="E1040" s="13" t="n"/>
    </row>
    <row r="1041">
      <c r="E1041" s="13" t="n"/>
    </row>
    <row r="1042">
      <c r="E1042" s="13" t="n"/>
    </row>
    <row r="1043">
      <c r="E1043" s="13" t="n"/>
    </row>
    <row r="1044">
      <c r="E1044" s="13" t="n"/>
    </row>
    <row r="1045">
      <c r="E1045" s="13" t="n"/>
    </row>
    <row r="1046">
      <c r="E1046" s="13" t="n"/>
    </row>
    <row r="1047">
      <c r="E1047" s="13" t="n"/>
    </row>
    <row r="1048">
      <c r="E1048" s="13" t="n"/>
    </row>
    <row r="1049">
      <c r="E1049" s="13" t="n"/>
    </row>
    <row r="1050">
      <c r="E1050" s="13" t="n"/>
    </row>
    <row r="1051">
      <c r="E1051" s="13" t="n"/>
    </row>
    <row r="1052">
      <c r="E1052" s="13" t="n"/>
    </row>
    <row r="1053">
      <c r="E1053" s="13" t="n"/>
    </row>
    <row r="1054">
      <c r="E1054" s="13" t="n"/>
    </row>
    <row r="1055">
      <c r="E1055" s="13" t="n"/>
    </row>
    <row r="1056">
      <c r="E1056" s="13" t="n"/>
    </row>
    <row r="1057">
      <c r="E1057" s="13" t="n"/>
    </row>
    <row r="1058">
      <c r="E1058" s="13" t="n"/>
    </row>
    <row r="1059">
      <c r="E1059" s="13" t="n"/>
    </row>
    <row r="1060">
      <c r="E1060" s="13" t="n"/>
    </row>
    <row r="1061">
      <c r="E1061" s="13" t="n"/>
    </row>
    <row r="1062">
      <c r="E1062" s="13" t="n"/>
    </row>
    <row r="1063">
      <c r="E1063" s="13" t="n"/>
    </row>
    <row r="1064">
      <c r="E1064" s="13" t="n"/>
    </row>
    <row r="1065">
      <c r="E1065" s="13" t="n"/>
    </row>
    <row r="1066">
      <c r="E1066" s="13" t="n"/>
    </row>
    <row r="1067">
      <c r="E1067" s="13" t="n"/>
    </row>
    <row r="1068">
      <c r="E1068" s="13" t="n"/>
    </row>
    <row r="1069">
      <c r="E1069" s="13" t="n"/>
    </row>
    <row r="1070">
      <c r="E1070" s="13" t="n"/>
    </row>
    <row r="1071">
      <c r="E1071" s="13" t="n"/>
    </row>
    <row r="1072">
      <c r="E1072" s="13" t="n"/>
    </row>
    <row r="1073">
      <c r="E1073" s="13" t="n"/>
    </row>
    <row r="1074">
      <c r="E1074" s="13" t="n"/>
    </row>
    <row r="1075">
      <c r="E1075" s="13" t="n"/>
    </row>
    <row r="1076">
      <c r="E1076" s="13" t="n"/>
    </row>
    <row r="1077">
      <c r="E1077" s="13" t="n"/>
    </row>
    <row r="1078">
      <c r="E1078" s="13" t="n"/>
    </row>
    <row r="1079">
      <c r="E1079" s="13" t="n"/>
    </row>
    <row r="1080">
      <c r="E1080" s="13" t="n"/>
    </row>
    <row r="1081">
      <c r="E1081" s="13" t="n"/>
    </row>
    <row r="1082">
      <c r="E1082" s="13" t="n"/>
    </row>
    <row r="1083">
      <c r="E1083" s="13" t="n"/>
    </row>
    <row r="1084">
      <c r="E1084" s="13" t="n"/>
    </row>
    <row r="1085">
      <c r="E1085" s="13" t="n"/>
    </row>
    <row r="1086">
      <c r="E1086" s="13" t="n"/>
    </row>
    <row r="1087">
      <c r="E1087" s="13" t="n"/>
    </row>
    <row r="1088">
      <c r="E1088" s="13" t="n"/>
    </row>
    <row r="1089">
      <c r="E1089" s="13" t="n"/>
    </row>
    <row r="1090">
      <c r="E1090" s="13" t="n"/>
    </row>
    <row r="1091">
      <c r="E1091" s="13" t="n"/>
    </row>
    <row r="1092">
      <c r="E1092" s="13" t="n"/>
    </row>
    <row r="1093">
      <c r="E1093" s="13" t="n"/>
    </row>
    <row r="1094">
      <c r="E1094" s="13" t="n"/>
    </row>
    <row r="1095">
      <c r="E1095" s="13" t="n"/>
    </row>
    <row r="1096">
      <c r="E1096" s="13" t="n"/>
    </row>
    <row r="1097">
      <c r="E1097" s="13" t="n"/>
    </row>
    <row r="1098">
      <c r="E1098" s="13" t="n"/>
    </row>
    <row r="1099">
      <c r="E1099" s="13" t="n"/>
    </row>
    <row r="1100">
      <c r="E1100" s="13" t="n"/>
    </row>
    <row r="1101">
      <c r="E1101" s="13" t="n"/>
    </row>
    <row r="1102">
      <c r="E1102" s="13" t="n"/>
    </row>
    <row r="1103">
      <c r="E1103" s="13" t="n"/>
    </row>
    <row r="1104">
      <c r="E1104" s="13" t="n"/>
    </row>
    <row r="1105">
      <c r="E1105" s="13" t="n"/>
    </row>
    <row r="1106">
      <c r="E1106" s="13" t="n"/>
    </row>
    <row r="1107">
      <c r="E1107" s="13" t="n"/>
    </row>
    <row r="1108">
      <c r="E1108" s="13" t="n"/>
    </row>
    <row r="1109">
      <c r="E1109" s="13" t="n"/>
    </row>
    <row r="1110">
      <c r="E1110" s="13" t="n"/>
    </row>
    <row r="1111">
      <c r="E1111" s="13" t="n"/>
    </row>
    <row r="1112">
      <c r="E1112" s="13" t="n"/>
    </row>
    <row r="1113">
      <c r="E1113" s="13" t="n"/>
    </row>
    <row r="1114">
      <c r="E1114" s="13" t="n"/>
    </row>
    <row r="1115">
      <c r="E1115" s="13" t="n"/>
    </row>
    <row r="1116">
      <c r="E1116" s="13" t="n"/>
    </row>
    <row r="1117">
      <c r="E1117" s="13" t="n"/>
    </row>
    <row r="1118">
      <c r="E1118" s="13" t="n"/>
    </row>
    <row r="1119">
      <c r="E1119" s="13" t="n"/>
    </row>
    <row r="1120">
      <c r="E1120" s="13" t="n"/>
    </row>
    <row r="1121">
      <c r="E1121" s="13" t="n"/>
    </row>
    <row r="1122">
      <c r="E1122" s="13" t="n"/>
    </row>
    <row r="1123">
      <c r="E1123" s="13" t="n"/>
    </row>
    <row r="1124">
      <c r="E1124" s="13" t="n"/>
    </row>
    <row r="1125">
      <c r="E1125" s="13" t="n"/>
    </row>
    <row r="1126">
      <c r="E1126" s="13" t="n"/>
    </row>
    <row r="1127">
      <c r="E1127" s="13" t="n"/>
    </row>
    <row r="1128">
      <c r="E1128" s="13" t="n"/>
    </row>
    <row r="1129">
      <c r="E1129" s="13" t="n"/>
    </row>
    <row r="1130">
      <c r="E1130" s="13" t="n"/>
    </row>
    <row r="1131">
      <c r="E1131" s="13" t="n"/>
    </row>
    <row r="1132">
      <c r="E1132" s="13" t="n"/>
    </row>
    <row r="1133">
      <c r="E1133" s="13" t="n"/>
    </row>
    <row r="1134">
      <c r="E1134" s="13" t="n"/>
    </row>
    <row r="1135">
      <c r="E1135" s="13" t="n"/>
    </row>
    <row r="1136">
      <c r="E1136" s="13" t="n"/>
    </row>
    <row r="1137">
      <c r="E1137" s="13" t="n"/>
    </row>
    <row r="1138">
      <c r="E1138" s="13" t="n"/>
    </row>
    <row r="1139">
      <c r="E1139" s="13" t="n"/>
    </row>
    <row r="1140">
      <c r="E1140" s="13" t="n"/>
    </row>
    <row r="1141">
      <c r="E1141" s="13" t="n"/>
    </row>
    <row r="1142">
      <c r="E1142" s="13" t="n"/>
    </row>
    <row r="1143">
      <c r="E1143" s="13" t="n"/>
    </row>
    <row r="1144">
      <c r="E1144" s="13" t="n"/>
    </row>
    <row r="1145">
      <c r="E1145" s="13" t="n"/>
    </row>
    <row r="1146">
      <c r="E1146" s="13" t="n"/>
    </row>
    <row r="1147">
      <c r="E1147" s="13" t="n"/>
    </row>
    <row r="1148">
      <c r="E1148" s="13" t="n"/>
    </row>
    <row r="1149">
      <c r="E1149" s="13" t="n"/>
    </row>
    <row r="1150">
      <c r="E1150" s="13" t="n"/>
    </row>
    <row r="1151">
      <c r="E1151" s="13" t="n"/>
    </row>
    <row r="1152">
      <c r="E1152" s="13" t="n"/>
    </row>
    <row r="1153">
      <c r="E1153" s="13" t="n"/>
    </row>
    <row r="1154">
      <c r="E1154" s="13" t="n"/>
    </row>
    <row r="1155">
      <c r="E1155" s="13" t="n"/>
    </row>
    <row r="1156">
      <c r="E1156" s="13" t="n"/>
    </row>
    <row r="1157">
      <c r="E1157" s="13" t="n"/>
    </row>
    <row r="1158">
      <c r="E1158" s="13" t="n"/>
    </row>
    <row r="1159">
      <c r="E1159" s="13" t="n"/>
    </row>
    <row r="1160">
      <c r="E1160" s="13" t="n"/>
    </row>
    <row r="1161">
      <c r="E1161" s="13" t="n"/>
    </row>
    <row r="1162">
      <c r="E1162" s="13" t="n"/>
    </row>
    <row r="1163">
      <c r="E1163" s="13" t="n"/>
    </row>
    <row r="1164">
      <c r="E1164" s="13" t="n"/>
    </row>
    <row r="1165">
      <c r="E1165" s="13" t="n"/>
    </row>
    <row r="1166">
      <c r="E1166" s="13" t="n"/>
    </row>
    <row r="1167">
      <c r="E1167" s="13" t="n"/>
    </row>
    <row r="1168">
      <c r="E1168" s="13" t="n"/>
    </row>
    <row r="1169">
      <c r="E1169" s="13" t="n"/>
    </row>
    <row r="1170">
      <c r="E1170" s="13" t="n"/>
    </row>
    <row r="1171">
      <c r="E1171" s="13" t="n"/>
    </row>
    <row r="1172">
      <c r="E1172" s="13" t="n"/>
    </row>
    <row r="1173">
      <c r="E1173" s="13" t="n"/>
    </row>
    <row r="1174">
      <c r="E1174" s="13" t="n"/>
    </row>
    <row r="1175">
      <c r="E1175" s="13" t="n"/>
    </row>
    <row r="1176">
      <c r="E1176" s="13" t="n"/>
    </row>
    <row r="1177">
      <c r="E1177" s="13" t="n"/>
    </row>
    <row r="1178">
      <c r="E1178" s="13" t="n"/>
    </row>
    <row r="1179">
      <c r="E1179" s="13" t="n"/>
    </row>
    <row r="1180">
      <c r="E1180" s="13" t="n"/>
    </row>
    <row r="1181">
      <c r="E1181" s="13" t="n"/>
    </row>
    <row r="1182">
      <c r="E1182" s="13" t="n"/>
    </row>
    <row r="1183">
      <c r="E1183" s="13" t="n"/>
    </row>
    <row r="1184">
      <c r="E1184" s="13" t="n"/>
    </row>
    <row r="1185">
      <c r="E1185" s="13" t="n"/>
    </row>
    <row r="1186">
      <c r="E1186" s="13" t="n"/>
    </row>
    <row r="1187">
      <c r="E1187" s="13" t="n"/>
    </row>
    <row r="1188">
      <c r="E1188" s="13" t="n"/>
    </row>
    <row r="1189">
      <c r="E1189" s="13" t="n"/>
    </row>
    <row r="1190">
      <c r="E1190" s="13" t="n"/>
    </row>
    <row r="1191">
      <c r="E1191" s="13" t="n"/>
    </row>
    <row r="1192">
      <c r="E1192" s="13" t="n"/>
    </row>
    <row r="1193">
      <c r="E1193" s="13" t="n"/>
    </row>
    <row r="1194">
      <c r="E1194" s="13" t="n"/>
    </row>
    <row r="1195">
      <c r="E1195" s="13" t="n"/>
    </row>
    <row r="1196">
      <c r="E1196" s="13" t="n"/>
    </row>
    <row r="1197">
      <c r="E1197" s="13" t="n"/>
    </row>
    <row r="1198">
      <c r="E1198" s="13" t="n"/>
    </row>
    <row r="1199">
      <c r="E1199" s="13" t="n"/>
    </row>
    <row r="1200">
      <c r="E1200" s="13" t="n"/>
    </row>
    <row r="1201">
      <c r="E1201" s="13" t="n"/>
    </row>
    <row r="1202">
      <c r="E1202" s="13" t="n"/>
    </row>
    <row r="1203">
      <c r="E1203" s="13" t="n"/>
    </row>
    <row r="1204">
      <c r="E1204" s="13" t="n"/>
    </row>
    <row r="1205">
      <c r="E1205" s="13" t="n"/>
    </row>
    <row r="1206">
      <c r="E1206" s="13" t="n"/>
    </row>
    <row r="1207">
      <c r="E1207" s="13" t="n"/>
    </row>
    <row r="1208">
      <c r="E1208" s="13" t="n"/>
    </row>
    <row r="1209">
      <c r="E1209" s="13" t="n"/>
    </row>
    <row r="1210">
      <c r="E1210" s="13" t="n"/>
    </row>
    <row r="1211">
      <c r="E1211" s="13" t="n"/>
    </row>
    <row r="1212">
      <c r="E1212" s="13" t="n"/>
    </row>
    <row r="1213">
      <c r="E1213" s="13" t="n"/>
    </row>
    <row r="1214">
      <c r="E1214" s="13" t="n"/>
    </row>
    <row r="1215">
      <c r="E1215" s="13" t="n"/>
    </row>
    <row r="1216">
      <c r="E1216" s="13" t="n"/>
    </row>
    <row r="1217">
      <c r="E1217" s="13" t="n"/>
    </row>
    <row r="1218">
      <c r="E1218" s="13" t="n"/>
    </row>
    <row r="1219">
      <c r="E1219" s="13" t="n"/>
    </row>
    <row r="1220">
      <c r="E1220" s="13" t="n"/>
    </row>
    <row r="1221">
      <c r="E1221" s="13" t="n"/>
    </row>
    <row r="1222">
      <c r="E1222" s="13" t="n"/>
    </row>
    <row r="1223">
      <c r="E1223" s="13" t="n"/>
    </row>
    <row r="1224">
      <c r="E1224" s="13" t="n"/>
    </row>
    <row r="1225">
      <c r="E1225" s="13" t="n"/>
    </row>
    <row r="1226">
      <c r="E1226" s="13" t="n"/>
    </row>
    <row r="1227">
      <c r="E1227" s="13" t="n"/>
    </row>
    <row r="1228">
      <c r="E1228" s="13" t="n"/>
    </row>
    <row r="1229">
      <c r="E1229" s="13" t="n"/>
    </row>
    <row r="1230">
      <c r="E1230" s="13" t="n"/>
    </row>
    <row r="1231">
      <c r="E1231" s="13" t="n"/>
    </row>
    <row r="1232">
      <c r="E1232" s="13" t="n"/>
    </row>
    <row r="1233">
      <c r="E1233" s="13" t="n"/>
    </row>
    <row r="1234">
      <c r="E1234" s="13" t="n"/>
    </row>
    <row r="1235">
      <c r="E1235" s="13" t="n"/>
    </row>
    <row r="1236">
      <c r="E1236" s="13" t="n"/>
    </row>
    <row r="1237">
      <c r="E1237" s="13" t="n"/>
    </row>
    <row r="1238">
      <c r="E1238" s="13" t="n"/>
    </row>
    <row r="1239">
      <c r="E1239" s="13" t="n"/>
    </row>
    <row r="1240">
      <c r="E1240" s="13" t="n"/>
    </row>
    <row r="1241">
      <c r="E1241" s="13" t="n"/>
    </row>
    <row r="1242">
      <c r="E1242" s="13" t="n"/>
    </row>
    <row r="1243">
      <c r="E1243" s="13" t="n"/>
    </row>
    <row r="1244">
      <c r="E1244" s="13" t="n"/>
    </row>
    <row r="1245">
      <c r="E1245" s="13" t="n"/>
    </row>
    <row r="1246">
      <c r="E1246" s="13" t="n"/>
    </row>
    <row r="1247">
      <c r="E1247" s="13" t="n"/>
    </row>
    <row r="1248">
      <c r="E1248" s="13" t="n"/>
    </row>
    <row r="1249">
      <c r="E1249" s="13" t="n"/>
    </row>
    <row r="1250">
      <c r="E1250" s="13" t="n"/>
    </row>
    <row r="1251">
      <c r="E1251" s="13" t="n"/>
    </row>
    <row r="1252">
      <c r="E1252" s="13" t="n"/>
    </row>
    <row r="1253">
      <c r="E1253" s="13" t="n"/>
    </row>
    <row r="1254">
      <c r="E1254" s="13" t="n"/>
    </row>
    <row r="1255">
      <c r="E1255" s="13" t="n"/>
    </row>
    <row r="1256">
      <c r="E1256" s="13" t="n"/>
    </row>
    <row r="1257">
      <c r="E1257" s="13" t="n"/>
    </row>
    <row r="1258">
      <c r="E1258" s="13" t="n"/>
    </row>
    <row r="1259">
      <c r="E1259" s="13" t="n"/>
    </row>
    <row r="1260">
      <c r="E1260" s="13" t="n"/>
    </row>
    <row r="1261">
      <c r="E1261" s="13" t="n"/>
    </row>
    <row r="1262">
      <c r="E1262" s="13" t="n"/>
    </row>
    <row r="1263">
      <c r="E1263" s="13" t="n"/>
    </row>
    <row r="1264">
      <c r="E1264" s="13" t="n"/>
    </row>
    <row r="1265">
      <c r="E1265" s="13" t="n"/>
    </row>
    <row r="1266">
      <c r="E1266" s="13" t="n"/>
    </row>
    <row r="1267">
      <c r="E1267" s="13" t="n"/>
    </row>
    <row r="1268">
      <c r="E1268" s="13" t="n"/>
    </row>
    <row r="1269">
      <c r="E1269" s="13" t="n"/>
    </row>
    <row r="1270">
      <c r="E1270" s="13" t="n"/>
    </row>
    <row r="1271">
      <c r="E1271" s="13" t="n"/>
    </row>
    <row r="1272">
      <c r="E1272" s="13" t="n"/>
    </row>
    <row r="1273">
      <c r="E1273" s="13" t="n"/>
    </row>
    <row r="1274">
      <c r="E1274" s="13" t="n"/>
    </row>
    <row r="1275">
      <c r="E1275" s="13" t="n"/>
    </row>
    <row r="1276">
      <c r="E1276" s="13" t="n"/>
    </row>
    <row r="1277">
      <c r="E1277" s="13" t="n"/>
    </row>
    <row r="1278">
      <c r="E1278" s="13" t="n"/>
    </row>
    <row r="1279">
      <c r="E1279" s="13" t="n"/>
    </row>
    <row r="1280">
      <c r="E1280" s="13" t="n"/>
    </row>
    <row r="1281">
      <c r="E1281" s="13" t="n"/>
    </row>
    <row r="1282">
      <c r="E1282" s="13" t="n"/>
    </row>
    <row r="1283">
      <c r="E1283" s="13" t="n"/>
    </row>
    <row r="1284">
      <c r="E1284" s="13" t="n"/>
    </row>
    <row r="1285">
      <c r="E1285" s="13" t="n"/>
    </row>
    <row r="1286">
      <c r="E1286" s="13" t="n"/>
    </row>
    <row r="1287">
      <c r="E1287" s="13" t="n"/>
    </row>
    <row r="1288">
      <c r="E1288" s="13" t="n"/>
    </row>
    <row r="1289">
      <c r="E1289" s="13" t="n"/>
    </row>
    <row r="1290">
      <c r="E1290" s="13" t="n"/>
    </row>
    <row r="1291">
      <c r="E1291" s="13" t="n"/>
    </row>
    <row r="1292">
      <c r="E1292" s="13" t="n"/>
    </row>
    <row r="1293">
      <c r="E1293" s="13" t="n"/>
    </row>
    <row r="1294">
      <c r="E1294" s="13" t="n"/>
    </row>
    <row r="1295">
      <c r="E1295" s="13" t="n"/>
    </row>
    <row r="1296">
      <c r="E1296" s="13" t="n"/>
    </row>
    <row r="1297">
      <c r="E1297" s="13" t="n"/>
    </row>
    <row r="1298">
      <c r="E1298" s="13" t="n"/>
    </row>
    <row r="1299">
      <c r="E1299" s="13" t="n"/>
    </row>
    <row r="1300">
      <c r="E1300" s="13" t="n"/>
    </row>
    <row r="1301">
      <c r="E1301" s="13" t="n"/>
    </row>
    <row r="1302">
      <c r="E1302" s="13" t="n"/>
    </row>
    <row r="1303">
      <c r="E1303" s="13" t="n"/>
    </row>
    <row r="1304">
      <c r="E1304" s="13" t="n"/>
    </row>
    <row r="1305">
      <c r="E1305" s="13" t="n"/>
    </row>
    <row r="1306">
      <c r="E1306" s="13" t="n"/>
    </row>
    <row r="1307">
      <c r="E1307" s="13" t="n"/>
    </row>
    <row r="1308">
      <c r="E1308" s="13" t="n"/>
    </row>
    <row r="1309">
      <c r="E1309" s="13" t="n"/>
    </row>
    <row r="1310">
      <c r="E1310" s="13" t="n"/>
    </row>
    <row r="1311">
      <c r="E1311" s="13" t="n"/>
    </row>
    <row r="1312">
      <c r="E1312" s="13" t="n"/>
    </row>
    <row r="1313">
      <c r="E1313" s="13" t="n"/>
    </row>
    <row r="1314">
      <c r="E1314" s="13" t="n"/>
    </row>
    <row r="1315">
      <c r="E1315" s="13" t="n"/>
    </row>
    <row r="1316">
      <c r="E1316" s="13" t="n"/>
    </row>
    <row r="1317">
      <c r="E1317" s="13" t="n"/>
    </row>
    <row r="1318">
      <c r="E1318" s="13" t="n"/>
    </row>
    <row r="1319">
      <c r="E1319" s="13" t="n"/>
    </row>
    <row r="1320">
      <c r="E1320" s="13" t="n"/>
    </row>
    <row r="1321">
      <c r="E1321" s="13" t="n"/>
    </row>
    <row r="1322">
      <c r="E1322" s="13" t="n"/>
    </row>
    <row r="1323">
      <c r="E1323" s="13" t="n"/>
    </row>
    <row r="1324">
      <c r="E1324" s="13" t="n"/>
    </row>
    <row r="1325">
      <c r="E1325" s="13" t="n"/>
    </row>
    <row r="1326">
      <c r="E1326" s="13" t="n"/>
    </row>
    <row r="1327">
      <c r="E1327" s="13" t="n"/>
    </row>
    <row r="1328">
      <c r="E1328" s="13" t="n"/>
    </row>
    <row r="1329">
      <c r="E1329" s="13" t="n"/>
    </row>
    <row r="1330">
      <c r="E1330" s="13" t="n"/>
    </row>
    <row r="1331">
      <c r="E1331" s="13" t="n"/>
    </row>
    <row r="1332">
      <c r="E1332" s="13" t="n"/>
    </row>
    <row r="1333">
      <c r="E1333" s="13" t="n"/>
    </row>
    <row r="1334">
      <c r="E1334" s="13" t="n"/>
    </row>
    <row r="1335">
      <c r="E1335" s="13" t="n"/>
    </row>
    <row r="1336">
      <c r="E1336" s="13" t="n"/>
    </row>
    <row r="1337">
      <c r="E1337" s="13" t="n"/>
    </row>
    <row r="1338">
      <c r="E1338" s="13" t="n"/>
    </row>
    <row r="1339">
      <c r="E1339" s="13" t="n"/>
    </row>
    <row r="1340">
      <c r="E1340" s="13" t="n"/>
    </row>
    <row r="1341">
      <c r="E1341" s="13" t="n"/>
    </row>
    <row r="1342">
      <c r="E1342" s="13" t="n"/>
    </row>
    <row r="1343">
      <c r="E1343" s="13" t="n"/>
    </row>
    <row r="1344">
      <c r="E1344" s="13" t="n"/>
    </row>
    <row r="1345">
      <c r="E1345" s="13" t="n"/>
    </row>
    <row r="1346">
      <c r="E1346" s="13" t="n"/>
    </row>
    <row r="1347">
      <c r="E1347" s="13" t="n"/>
    </row>
    <row r="1348">
      <c r="E1348" s="13" t="n"/>
    </row>
    <row r="1349">
      <c r="E1349" s="13" t="n"/>
    </row>
    <row r="1350">
      <c r="E1350" s="13" t="n"/>
    </row>
    <row r="1351">
      <c r="E1351" s="13" t="n"/>
    </row>
    <row r="1352">
      <c r="E1352" s="13" t="n"/>
    </row>
    <row r="1353">
      <c r="E1353" s="13" t="n"/>
    </row>
    <row r="1354">
      <c r="E1354" s="13" t="n"/>
    </row>
    <row r="1355">
      <c r="E1355" s="13" t="n"/>
    </row>
    <row r="1356">
      <c r="E1356" s="13" t="n"/>
    </row>
    <row r="1357">
      <c r="E1357" s="13" t="n"/>
    </row>
    <row r="1358">
      <c r="E1358" s="13" t="n"/>
    </row>
    <row r="1359">
      <c r="E1359" s="13" t="n"/>
    </row>
    <row r="1360">
      <c r="E1360" s="13" t="n"/>
    </row>
    <row r="1361">
      <c r="E1361" s="13" t="n"/>
    </row>
    <row r="1362">
      <c r="E1362" s="13" t="n"/>
    </row>
    <row r="1363">
      <c r="E1363" s="13" t="n"/>
    </row>
    <row r="1364">
      <c r="E1364" s="13" t="n"/>
    </row>
    <row r="1365">
      <c r="E1365" s="13" t="n"/>
    </row>
    <row r="1366">
      <c r="E1366" s="13" t="n"/>
    </row>
    <row r="1367">
      <c r="E1367" s="13" t="n"/>
    </row>
    <row r="1368">
      <c r="E1368" s="13" t="n"/>
    </row>
    <row r="1369">
      <c r="E1369" s="13" t="n"/>
    </row>
    <row r="1370">
      <c r="E1370" s="13" t="n"/>
    </row>
    <row r="1371">
      <c r="E1371" s="13" t="n"/>
    </row>
    <row r="1372">
      <c r="E1372" s="13" t="n"/>
    </row>
    <row r="1373">
      <c r="E1373" s="13" t="n"/>
    </row>
    <row r="1374">
      <c r="E1374" s="13" t="n"/>
    </row>
    <row r="1375">
      <c r="E1375" s="13" t="n"/>
    </row>
    <row r="1376">
      <c r="E1376" s="13" t="n"/>
    </row>
    <row r="1377">
      <c r="E1377" s="13" t="n"/>
    </row>
    <row r="1378">
      <c r="E1378" s="13" t="n"/>
    </row>
    <row r="1379">
      <c r="E1379" s="13" t="n"/>
    </row>
    <row r="1380">
      <c r="E1380" s="13" t="n"/>
    </row>
    <row r="1381">
      <c r="E1381" s="13" t="n"/>
    </row>
    <row r="1382">
      <c r="E1382" s="13" t="n"/>
    </row>
    <row r="1383">
      <c r="E1383" s="13" t="n"/>
    </row>
    <row r="1384">
      <c r="E1384" s="13" t="n"/>
    </row>
    <row r="1385">
      <c r="E1385" s="13" t="n"/>
    </row>
    <row r="1386">
      <c r="E1386" s="13" t="n"/>
    </row>
    <row r="1387">
      <c r="E1387" s="13" t="n"/>
    </row>
    <row r="1388">
      <c r="E1388" s="13" t="n"/>
    </row>
    <row r="1389">
      <c r="E1389" s="13" t="n"/>
    </row>
    <row r="1390">
      <c r="E1390" s="13" t="n"/>
    </row>
    <row r="1391">
      <c r="E1391" s="13" t="n"/>
    </row>
    <row r="1392">
      <c r="E1392" s="13" t="n"/>
    </row>
    <row r="1393">
      <c r="E1393" s="13" t="n"/>
    </row>
    <row r="1394">
      <c r="E1394" s="13" t="n"/>
    </row>
    <row r="1395">
      <c r="E1395" s="13" t="n"/>
    </row>
    <row r="1396">
      <c r="E1396" s="13" t="n"/>
    </row>
    <row r="1397">
      <c r="E1397" s="13" t="n"/>
    </row>
    <row r="1398">
      <c r="E1398" s="13" t="n"/>
    </row>
    <row r="1399">
      <c r="E1399" s="13" t="n"/>
    </row>
    <row r="1400">
      <c r="E1400" s="13" t="n"/>
    </row>
    <row r="1401">
      <c r="E1401" s="13" t="n"/>
    </row>
    <row r="1402">
      <c r="E1402" s="13" t="n"/>
    </row>
    <row r="1403">
      <c r="E1403" s="13" t="n"/>
    </row>
    <row r="1404">
      <c r="E1404" s="13" t="n"/>
    </row>
    <row r="1405">
      <c r="E1405" s="13" t="n"/>
    </row>
    <row r="1406">
      <c r="E1406" s="13" t="n"/>
    </row>
    <row r="1407">
      <c r="E1407" s="13" t="n"/>
    </row>
    <row r="1408">
      <c r="E1408" s="13" t="n"/>
    </row>
    <row r="1409">
      <c r="E1409" s="13" t="n"/>
    </row>
    <row r="1410">
      <c r="E1410" s="13" t="n"/>
    </row>
    <row r="1411">
      <c r="E1411" s="13" t="n"/>
    </row>
    <row r="1412">
      <c r="E1412" s="13" t="n"/>
    </row>
    <row r="1413">
      <c r="E1413" s="13" t="n"/>
    </row>
    <row r="1414">
      <c r="E1414" s="13" t="n"/>
    </row>
    <row r="1415">
      <c r="E1415" s="13" t="n"/>
    </row>
    <row r="1416">
      <c r="E1416" s="13" t="n"/>
    </row>
    <row r="1417">
      <c r="E1417" s="13" t="n"/>
    </row>
    <row r="1418">
      <c r="E1418" s="13" t="n"/>
    </row>
    <row r="1419">
      <c r="E1419" s="13" t="n"/>
    </row>
    <row r="1420">
      <c r="E1420" s="13" t="n"/>
    </row>
    <row r="1421">
      <c r="E1421" s="13" t="n"/>
    </row>
    <row r="1422">
      <c r="E1422" s="13" t="n"/>
    </row>
    <row r="1423">
      <c r="E1423" s="13" t="n"/>
    </row>
    <row r="1424">
      <c r="E1424" s="13" t="n"/>
    </row>
    <row r="1425">
      <c r="E1425" s="13" t="n"/>
    </row>
    <row r="1426">
      <c r="E1426" s="13" t="n"/>
    </row>
    <row r="1427">
      <c r="E1427" s="13" t="n"/>
    </row>
    <row r="1428">
      <c r="E1428" s="13" t="n"/>
    </row>
    <row r="1429">
      <c r="E1429" s="13" t="n"/>
    </row>
    <row r="1430">
      <c r="E1430" s="13" t="n"/>
    </row>
    <row r="1431">
      <c r="E1431" s="13" t="n"/>
    </row>
    <row r="1432">
      <c r="E1432" s="13" t="n"/>
    </row>
    <row r="1433">
      <c r="E1433" s="13" t="n"/>
    </row>
    <row r="1434">
      <c r="E1434" s="13" t="n"/>
    </row>
    <row r="1435">
      <c r="E1435" s="13" t="n"/>
    </row>
    <row r="1436">
      <c r="E1436" s="13" t="n"/>
    </row>
    <row r="1437">
      <c r="E1437" s="13" t="n"/>
    </row>
    <row r="1438">
      <c r="E1438" s="13" t="n"/>
    </row>
    <row r="1439">
      <c r="E1439" s="13" t="n"/>
    </row>
    <row r="1440">
      <c r="E1440" s="13" t="n"/>
    </row>
    <row r="1441">
      <c r="E1441" s="13" t="n"/>
    </row>
    <row r="1442">
      <c r="E1442" s="13" t="n"/>
    </row>
    <row r="1443">
      <c r="E1443" s="13" t="n"/>
    </row>
    <row r="1444">
      <c r="E1444" s="13" t="n"/>
    </row>
    <row r="1445">
      <c r="E1445" s="13" t="n"/>
    </row>
    <row r="1446">
      <c r="E1446" s="13" t="n"/>
    </row>
    <row r="1447">
      <c r="E1447" s="13" t="n"/>
    </row>
    <row r="1448">
      <c r="E1448" s="13" t="n"/>
    </row>
    <row r="1449">
      <c r="E1449" s="13" t="n"/>
    </row>
    <row r="1450">
      <c r="E1450" s="13" t="n"/>
    </row>
    <row r="1451">
      <c r="E1451" s="13" t="n"/>
    </row>
    <row r="1452">
      <c r="E1452" s="13" t="n"/>
    </row>
    <row r="1453">
      <c r="E1453" s="13" t="n"/>
    </row>
    <row r="1454">
      <c r="E1454" s="13" t="n"/>
    </row>
    <row r="1455">
      <c r="E1455" s="13" t="n"/>
    </row>
    <row r="1456">
      <c r="E1456" s="13" t="n"/>
    </row>
    <row r="1457">
      <c r="E1457" s="13" t="n"/>
    </row>
    <row r="1458">
      <c r="E1458" s="13" t="n"/>
    </row>
    <row r="1459">
      <c r="E1459" s="13" t="n"/>
    </row>
    <row r="1460">
      <c r="E1460" s="13" t="n"/>
    </row>
    <row r="1461">
      <c r="E1461" s="13" t="n"/>
    </row>
    <row r="1462">
      <c r="E1462" s="13" t="n"/>
    </row>
    <row r="1463">
      <c r="E1463" s="13" t="n"/>
    </row>
    <row r="1464">
      <c r="E1464" s="13" t="n"/>
    </row>
    <row r="1465">
      <c r="E1465" s="13" t="n"/>
    </row>
    <row r="1466">
      <c r="E1466" s="13" t="n"/>
    </row>
    <row r="1467">
      <c r="E1467" s="13" t="n"/>
    </row>
    <row r="1468">
      <c r="E1468" s="13" t="n"/>
    </row>
    <row r="1469">
      <c r="E1469" s="13" t="n"/>
    </row>
    <row r="1470">
      <c r="E1470" s="13" t="n"/>
    </row>
    <row r="1471">
      <c r="E1471" s="13" t="n"/>
    </row>
    <row r="1472">
      <c r="E1472" s="13" t="n"/>
    </row>
    <row r="1473">
      <c r="E1473" s="13" t="n"/>
    </row>
    <row r="1474">
      <c r="E1474" s="13" t="n"/>
    </row>
    <row r="1475">
      <c r="E1475" s="13" t="n"/>
    </row>
    <row r="1476">
      <c r="E1476" s="13" t="n"/>
    </row>
    <row r="1477">
      <c r="E1477" s="13" t="n"/>
    </row>
    <row r="1478">
      <c r="E1478" s="13" t="n"/>
    </row>
    <row r="1479">
      <c r="E1479" s="13" t="n"/>
    </row>
    <row r="1480">
      <c r="E1480" s="13" t="n"/>
    </row>
    <row r="1481">
      <c r="E1481" s="13" t="n"/>
    </row>
    <row r="1482">
      <c r="E1482" s="13" t="n"/>
    </row>
    <row r="1483">
      <c r="E1483" s="13" t="n"/>
    </row>
    <row r="1484">
      <c r="E1484" s="13" t="n"/>
    </row>
    <row r="1485">
      <c r="E1485" s="13" t="n"/>
    </row>
    <row r="1486">
      <c r="E1486" s="13" t="n"/>
    </row>
    <row r="1487">
      <c r="E1487" s="13" t="n"/>
    </row>
    <row r="1488">
      <c r="E1488" s="13" t="n"/>
    </row>
    <row r="1489">
      <c r="E1489" s="13" t="n"/>
    </row>
    <row r="1490">
      <c r="E1490" s="13" t="n"/>
    </row>
    <row r="1491">
      <c r="E1491" s="13" t="n"/>
    </row>
    <row r="1492">
      <c r="E1492" s="13" t="n"/>
    </row>
    <row r="1493">
      <c r="E1493" s="13" t="n"/>
    </row>
    <row r="1494">
      <c r="E1494" s="13" t="n"/>
    </row>
    <row r="1495">
      <c r="E1495" s="13" t="n"/>
    </row>
    <row r="1496">
      <c r="E1496" s="13" t="n"/>
    </row>
    <row r="1497">
      <c r="E1497" s="13" t="n"/>
    </row>
    <row r="1498">
      <c r="E1498" s="13" t="n"/>
    </row>
    <row r="1499">
      <c r="E1499" s="13" t="n"/>
    </row>
    <row r="1500">
      <c r="E1500" s="13" t="n"/>
    </row>
    <row r="1501">
      <c r="E1501" s="13" t="n"/>
    </row>
    <row r="1502">
      <c r="E1502" s="13" t="n"/>
    </row>
    <row r="1503">
      <c r="E1503" s="13" t="n"/>
    </row>
    <row r="1504">
      <c r="E1504" s="13" t="n"/>
    </row>
    <row r="1505">
      <c r="E1505" s="13" t="n"/>
    </row>
    <row r="1506">
      <c r="E1506" s="13" t="n"/>
    </row>
    <row r="1507">
      <c r="E1507" s="13" t="n"/>
    </row>
    <row r="1508">
      <c r="E1508" s="13" t="n"/>
    </row>
    <row r="1509">
      <c r="E1509" s="13" t="n"/>
    </row>
    <row r="1510">
      <c r="E1510" s="13" t="n"/>
    </row>
    <row r="1511">
      <c r="E1511" s="13" t="n"/>
    </row>
    <row r="1512">
      <c r="E1512" s="13" t="n"/>
    </row>
    <row r="1513">
      <c r="E1513" s="13" t="n"/>
    </row>
    <row r="1514">
      <c r="E1514" s="13" t="n"/>
    </row>
    <row r="1515">
      <c r="E1515" s="13" t="n"/>
    </row>
    <row r="1516">
      <c r="E1516" s="13" t="n"/>
    </row>
    <row r="1517">
      <c r="E1517" s="13" t="n"/>
    </row>
    <row r="1518">
      <c r="E1518" s="13" t="n"/>
    </row>
    <row r="1519">
      <c r="E1519" s="13" t="n"/>
    </row>
    <row r="1520">
      <c r="E1520" s="13" t="n"/>
    </row>
    <row r="1521">
      <c r="E1521" s="13" t="n"/>
    </row>
    <row r="1522">
      <c r="E1522" s="13" t="n"/>
    </row>
    <row r="1523">
      <c r="E1523" s="13" t="n"/>
    </row>
    <row r="1524">
      <c r="E1524" s="13" t="n"/>
    </row>
    <row r="1525">
      <c r="E1525" s="13" t="n"/>
    </row>
    <row r="1526">
      <c r="E1526" s="13" t="n"/>
    </row>
    <row r="1527">
      <c r="E1527" s="13" t="n"/>
    </row>
    <row r="1528">
      <c r="E1528" s="13" t="n"/>
    </row>
    <row r="1529">
      <c r="E1529" s="13" t="n"/>
    </row>
    <row r="1530">
      <c r="E1530" s="13" t="n"/>
    </row>
    <row r="1531">
      <c r="E1531" s="13" t="n"/>
    </row>
    <row r="1532">
      <c r="E1532" s="13" t="n"/>
    </row>
    <row r="1533">
      <c r="E1533" s="13" t="n"/>
    </row>
    <row r="1534">
      <c r="E1534" s="13" t="n"/>
    </row>
    <row r="1535">
      <c r="E1535" s="13" t="n"/>
    </row>
    <row r="1536">
      <c r="E1536" s="13" t="n"/>
    </row>
    <row r="1537">
      <c r="E1537" s="13" t="n"/>
    </row>
    <row r="1538">
      <c r="E1538" s="13" t="n"/>
    </row>
    <row r="1539">
      <c r="E1539" s="13" t="n"/>
    </row>
    <row r="1540">
      <c r="E1540" s="13" t="n"/>
    </row>
    <row r="1541">
      <c r="E1541" s="13" t="n"/>
    </row>
    <row r="1542">
      <c r="E1542" s="13" t="n"/>
    </row>
    <row r="1543">
      <c r="E1543" s="13" t="n"/>
    </row>
    <row r="1544">
      <c r="E1544" s="13" t="n"/>
    </row>
    <row r="1545">
      <c r="E1545" s="13" t="n"/>
    </row>
    <row r="1546">
      <c r="E1546" s="13" t="n"/>
    </row>
    <row r="1547">
      <c r="E1547" s="13" t="n"/>
    </row>
    <row r="1548">
      <c r="E1548" s="13" t="n"/>
    </row>
    <row r="1549">
      <c r="E1549" s="13" t="n"/>
    </row>
    <row r="1550">
      <c r="E1550" s="13" t="n"/>
    </row>
    <row r="1551">
      <c r="E1551" s="13" t="n"/>
    </row>
    <row r="1552">
      <c r="E1552" s="13" t="n"/>
    </row>
    <row r="1553">
      <c r="E1553" s="13" t="n"/>
    </row>
    <row r="1554">
      <c r="E1554" s="13" t="n"/>
    </row>
    <row r="1555">
      <c r="E1555" s="13" t="n"/>
    </row>
    <row r="1556">
      <c r="E1556" s="13" t="n"/>
    </row>
    <row r="1557">
      <c r="E1557" s="13" t="n"/>
    </row>
    <row r="1558">
      <c r="E1558" s="13" t="n"/>
    </row>
    <row r="1559">
      <c r="E1559" s="13" t="n"/>
    </row>
    <row r="1560">
      <c r="E1560" s="13" t="n"/>
    </row>
    <row r="1561">
      <c r="E1561" s="13" t="n"/>
    </row>
    <row r="1562">
      <c r="E1562" s="13" t="n"/>
    </row>
    <row r="1563">
      <c r="E1563" s="13" t="n"/>
    </row>
    <row r="1564">
      <c r="E1564" s="13" t="n"/>
    </row>
    <row r="1565">
      <c r="E1565" s="13" t="n"/>
    </row>
    <row r="1566">
      <c r="E1566" s="13" t="n"/>
    </row>
    <row r="1567">
      <c r="E1567" s="13" t="n"/>
    </row>
    <row r="1568">
      <c r="E1568" s="13" t="n"/>
    </row>
    <row r="1569">
      <c r="E1569" s="13" t="n"/>
    </row>
    <row r="1570">
      <c r="E1570" s="13" t="n"/>
    </row>
    <row r="1571">
      <c r="E1571" s="13" t="n"/>
    </row>
    <row r="1572">
      <c r="E1572" s="13" t="n"/>
    </row>
    <row r="1573">
      <c r="E1573" s="13" t="n"/>
    </row>
    <row r="1574">
      <c r="E1574" s="13" t="n"/>
    </row>
    <row r="1575">
      <c r="E1575" s="13" t="n"/>
    </row>
    <row r="1576">
      <c r="E1576" s="13" t="n"/>
    </row>
    <row r="1577">
      <c r="E1577" s="13" t="n"/>
    </row>
    <row r="1578">
      <c r="E1578" s="13" t="n"/>
    </row>
    <row r="1579">
      <c r="E1579" s="13" t="n"/>
    </row>
    <row r="1580">
      <c r="E1580" s="13" t="n"/>
    </row>
    <row r="1581">
      <c r="E1581" s="13" t="n"/>
    </row>
    <row r="1582">
      <c r="E1582" s="13" t="n"/>
    </row>
    <row r="1583">
      <c r="E1583" s="13" t="n"/>
    </row>
    <row r="1584">
      <c r="E1584" s="13" t="n"/>
    </row>
    <row r="1585">
      <c r="E1585" s="13" t="n"/>
    </row>
    <row r="1586">
      <c r="E1586" s="13" t="n"/>
    </row>
    <row r="1587">
      <c r="E1587" s="13" t="n"/>
    </row>
    <row r="1588">
      <c r="E1588" s="13" t="n"/>
    </row>
    <row r="1589">
      <c r="E1589" s="13" t="n"/>
    </row>
    <row r="1590">
      <c r="E1590" s="13" t="n"/>
    </row>
    <row r="1591">
      <c r="E1591" s="13" t="n"/>
    </row>
    <row r="1592">
      <c r="E1592" s="13" t="n"/>
    </row>
    <row r="1593">
      <c r="E1593" s="13" t="n"/>
    </row>
    <row r="1594">
      <c r="E1594" s="13" t="n"/>
    </row>
    <row r="1595">
      <c r="E1595" s="13" t="n"/>
    </row>
    <row r="1596">
      <c r="E1596" s="13" t="n"/>
    </row>
    <row r="1597">
      <c r="E1597" s="13" t="n"/>
    </row>
    <row r="1598">
      <c r="E1598" s="13" t="n"/>
    </row>
    <row r="1599">
      <c r="E1599" s="13" t="n"/>
    </row>
    <row r="1600">
      <c r="E1600" s="13" t="n"/>
    </row>
    <row r="1601">
      <c r="E1601" s="13" t="n"/>
    </row>
    <row r="1602">
      <c r="E1602" s="13" t="n"/>
    </row>
    <row r="1603">
      <c r="E1603" s="13" t="n"/>
    </row>
    <row r="1604">
      <c r="E1604" s="13" t="n"/>
    </row>
    <row r="1605">
      <c r="E1605" s="13" t="n"/>
    </row>
    <row r="1606">
      <c r="E1606" s="13" t="n"/>
    </row>
    <row r="1607">
      <c r="E1607" s="13" t="n"/>
    </row>
    <row r="1608">
      <c r="E1608" s="13" t="n"/>
    </row>
    <row r="1609">
      <c r="E1609" s="13" t="n"/>
    </row>
    <row r="1610">
      <c r="E1610" s="13" t="n"/>
    </row>
    <row r="1611">
      <c r="E1611" s="13" t="n"/>
    </row>
    <row r="1612">
      <c r="E1612" s="13" t="n"/>
    </row>
    <row r="1613">
      <c r="E1613" s="13" t="n"/>
    </row>
    <row r="1614">
      <c r="E1614" s="13" t="n"/>
    </row>
    <row r="1615">
      <c r="E1615" s="13" t="n"/>
    </row>
    <row r="1616">
      <c r="E1616" s="13" t="n"/>
    </row>
    <row r="1617">
      <c r="E1617" s="13" t="n"/>
    </row>
    <row r="1618">
      <c r="E1618" s="13" t="n"/>
    </row>
    <row r="1619">
      <c r="E1619" s="13" t="n"/>
    </row>
    <row r="1620">
      <c r="E1620" s="13" t="n"/>
    </row>
    <row r="1621">
      <c r="E1621" s="13" t="n"/>
    </row>
    <row r="1622">
      <c r="E1622" s="13" t="n"/>
    </row>
    <row r="1623">
      <c r="E1623" s="13" t="n"/>
    </row>
    <row r="1624">
      <c r="E1624" s="13" t="n"/>
    </row>
    <row r="1625">
      <c r="E1625" s="13" t="n"/>
    </row>
    <row r="1626">
      <c r="E1626" s="13" t="n"/>
    </row>
    <row r="1627">
      <c r="E1627" s="13" t="n"/>
    </row>
    <row r="1628">
      <c r="E1628" s="13" t="n"/>
    </row>
    <row r="1629">
      <c r="E1629" s="13" t="n"/>
    </row>
    <row r="1630">
      <c r="E1630" s="13" t="n"/>
    </row>
    <row r="1631">
      <c r="E1631" s="13" t="n"/>
    </row>
    <row r="1632">
      <c r="E1632" s="13" t="n"/>
    </row>
    <row r="1633">
      <c r="E1633" s="13" t="n"/>
    </row>
    <row r="1634">
      <c r="E1634" s="13" t="n"/>
    </row>
    <row r="1635">
      <c r="E1635" s="13" t="n"/>
    </row>
    <row r="1636">
      <c r="E1636" s="13" t="n"/>
    </row>
    <row r="1637">
      <c r="E1637" s="13" t="n"/>
    </row>
    <row r="1638">
      <c r="E1638" s="13" t="n"/>
    </row>
    <row r="1639">
      <c r="E1639" s="13" t="n"/>
    </row>
    <row r="1640">
      <c r="E1640" s="13" t="n"/>
    </row>
    <row r="1641">
      <c r="E1641" s="13" t="n"/>
    </row>
    <row r="1642">
      <c r="E1642" s="13" t="n"/>
    </row>
    <row r="1643">
      <c r="E1643" s="13" t="n"/>
    </row>
    <row r="1644">
      <c r="E1644" s="13" t="n"/>
    </row>
    <row r="1645">
      <c r="E1645" s="13" t="n"/>
    </row>
    <row r="1646">
      <c r="E1646" s="13" t="n"/>
    </row>
    <row r="1647">
      <c r="E1647" s="13" t="n"/>
    </row>
    <row r="1648">
      <c r="E1648" s="13" t="n"/>
    </row>
    <row r="1649">
      <c r="E1649" s="13" t="n"/>
    </row>
    <row r="1650">
      <c r="E1650" s="13" t="n"/>
    </row>
    <row r="1651">
      <c r="E1651" s="13" t="n"/>
    </row>
    <row r="1652">
      <c r="E1652" s="13" t="n"/>
    </row>
    <row r="1653">
      <c r="E1653" s="13" t="n"/>
    </row>
    <row r="1654">
      <c r="E1654" s="13" t="n"/>
    </row>
    <row r="1655">
      <c r="E1655" s="13" t="n"/>
    </row>
    <row r="1656">
      <c r="E1656" s="13" t="n"/>
    </row>
    <row r="1657">
      <c r="E1657" s="13" t="n"/>
    </row>
    <row r="1658">
      <c r="E1658" s="13" t="n"/>
    </row>
    <row r="1659">
      <c r="E1659" s="13" t="n"/>
    </row>
    <row r="1660">
      <c r="E1660" s="13" t="n"/>
    </row>
    <row r="1661">
      <c r="E1661" s="13" t="n"/>
    </row>
    <row r="1662">
      <c r="E1662" s="13" t="n"/>
    </row>
    <row r="1663">
      <c r="E1663" s="13" t="n"/>
    </row>
    <row r="1664">
      <c r="E1664" s="13" t="n"/>
    </row>
    <row r="1665">
      <c r="E1665" s="13" t="n"/>
    </row>
    <row r="1666">
      <c r="E1666" s="13" t="n"/>
    </row>
    <row r="1667">
      <c r="E1667" s="13" t="n"/>
    </row>
    <row r="1668">
      <c r="E1668" s="13" t="n"/>
    </row>
    <row r="1669">
      <c r="E1669" s="13" t="n"/>
    </row>
    <row r="1670">
      <c r="E1670" s="13" t="n"/>
    </row>
    <row r="1671">
      <c r="E1671" s="13" t="n"/>
    </row>
    <row r="1672">
      <c r="E1672" s="13" t="n"/>
    </row>
    <row r="1673">
      <c r="E1673" s="13" t="n"/>
    </row>
    <row r="1674">
      <c r="E1674" s="13" t="n"/>
    </row>
    <row r="1675">
      <c r="E1675" s="13" t="n"/>
    </row>
    <row r="1676">
      <c r="E1676" s="13" t="n"/>
    </row>
    <row r="1677">
      <c r="E1677" s="13" t="n"/>
    </row>
    <row r="1678">
      <c r="E1678" s="13" t="n"/>
    </row>
    <row r="1679">
      <c r="E1679" s="13" t="n"/>
    </row>
    <row r="1680">
      <c r="E1680" s="13" t="n"/>
    </row>
    <row r="1681">
      <c r="E1681" s="13" t="n"/>
    </row>
    <row r="1682">
      <c r="E1682" s="13" t="n"/>
    </row>
    <row r="1683">
      <c r="E1683" s="13" t="n"/>
    </row>
    <row r="1684">
      <c r="E1684" s="13" t="n"/>
    </row>
    <row r="1685">
      <c r="E1685" s="13" t="n"/>
    </row>
    <row r="1686">
      <c r="E1686" s="13" t="n"/>
    </row>
    <row r="1687">
      <c r="E1687" s="13" t="n"/>
    </row>
    <row r="1688">
      <c r="E1688" s="13" t="n"/>
    </row>
    <row r="1689">
      <c r="E1689" s="13" t="n"/>
    </row>
    <row r="1690">
      <c r="E1690" s="13" t="n"/>
    </row>
    <row r="1691">
      <c r="E1691" s="13" t="n"/>
    </row>
    <row r="1692">
      <c r="E1692" s="13" t="n"/>
    </row>
    <row r="1693">
      <c r="E1693" s="13" t="n"/>
    </row>
    <row r="1694">
      <c r="E1694" s="13" t="n"/>
    </row>
    <row r="1695">
      <c r="E1695" s="13" t="n"/>
    </row>
    <row r="1696">
      <c r="E1696" s="13" t="n"/>
    </row>
    <row r="1697">
      <c r="E1697" s="13" t="n"/>
    </row>
    <row r="1698">
      <c r="E1698" s="13" t="n"/>
    </row>
    <row r="1699">
      <c r="E1699" s="13" t="n"/>
    </row>
    <row r="1700">
      <c r="E1700" s="13" t="n"/>
    </row>
    <row r="1701">
      <c r="E1701" s="13" t="n"/>
    </row>
    <row r="1702">
      <c r="E1702" s="13" t="n"/>
    </row>
    <row r="1703">
      <c r="E1703" s="13" t="n"/>
    </row>
    <row r="1704">
      <c r="E1704" s="13" t="n"/>
    </row>
    <row r="1705">
      <c r="E1705" s="13" t="n"/>
    </row>
    <row r="1706">
      <c r="E1706" s="13" t="n"/>
    </row>
    <row r="1707">
      <c r="E1707" s="13" t="n"/>
    </row>
    <row r="1708">
      <c r="E1708" s="13" t="n"/>
    </row>
    <row r="1709">
      <c r="E1709" s="13" t="n"/>
    </row>
    <row r="1710">
      <c r="E1710" s="13" t="n"/>
    </row>
    <row r="1711">
      <c r="E1711" s="13" t="n"/>
    </row>
    <row r="1712">
      <c r="E1712" s="13" t="n"/>
    </row>
    <row r="1713">
      <c r="E1713" s="13" t="n"/>
    </row>
    <row r="1714">
      <c r="E1714" s="13" t="n"/>
    </row>
    <row r="1715">
      <c r="E1715" s="13" t="n"/>
    </row>
    <row r="1716">
      <c r="E1716" s="13" t="n"/>
    </row>
    <row r="1717">
      <c r="E1717" s="13" t="n"/>
    </row>
    <row r="1718">
      <c r="E1718" s="13" t="n"/>
    </row>
    <row r="1719">
      <c r="E1719" s="13" t="n"/>
    </row>
    <row r="1720">
      <c r="E1720" s="13" t="n"/>
    </row>
    <row r="1721">
      <c r="E1721" s="13" t="n"/>
    </row>
    <row r="1722">
      <c r="E1722" s="13" t="n"/>
    </row>
    <row r="1723">
      <c r="E1723" s="13" t="n"/>
    </row>
    <row r="1724">
      <c r="E1724" s="13" t="n"/>
    </row>
    <row r="1725">
      <c r="E1725" s="13" t="n"/>
    </row>
    <row r="1726">
      <c r="E1726" s="13" t="n"/>
    </row>
    <row r="1727">
      <c r="E1727" s="13" t="n"/>
    </row>
    <row r="1728">
      <c r="E1728" s="13" t="n"/>
    </row>
    <row r="1729">
      <c r="E1729" s="13" t="n"/>
    </row>
    <row r="1730">
      <c r="E1730" s="13" t="n"/>
    </row>
    <row r="1731">
      <c r="E1731" s="13" t="n"/>
    </row>
    <row r="1732">
      <c r="E1732" s="13" t="n"/>
    </row>
    <row r="1733">
      <c r="E1733" s="13" t="n"/>
    </row>
    <row r="1734">
      <c r="E1734" s="13" t="n"/>
    </row>
    <row r="1735">
      <c r="E1735" s="13" t="n"/>
    </row>
    <row r="1736">
      <c r="E1736" s="13" t="n"/>
    </row>
    <row r="1737">
      <c r="E1737" s="13" t="n"/>
    </row>
    <row r="1738">
      <c r="E1738" s="13" t="n"/>
    </row>
    <row r="1739">
      <c r="E1739" s="13" t="n"/>
    </row>
    <row r="1740">
      <c r="E1740" s="13" t="n"/>
    </row>
    <row r="1741">
      <c r="E1741" s="13" t="n"/>
    </row>
    <row r="1742">
      <c r="E1742" s="13" t="n"/>
    </row>
    <row r="1743">
      <c r="E1743" s="13" t="n"/>
    </row>
    <row r="1744">
      <c r="E1744" s="13" t="n"/>
    </row>
    <row r="1745">
      <c r="E1745" s="13" t="n"/>
    </row>
    <row r="1746">
      <c r="E1746" s="13" t="n"/>
    </row>
    <row r="1747">
      <c r="E1747" s="13" t="n"/>
    </row>
    <row r="1748">
      <c r="E1748" s="13" t="n"/>
    </row>
    <row r="1749">
      <c r="E1749" s="13" t="n"/>
    </row>
    <row r="1750">
      <c r="E1750" s="13" t="n"/>
    </row>
    <row r="1751">
      <c r="E1751" s="13" t="n"/>
    </row>
    <row r="1752">
      <c r="E1752" s="13" t="n"/>
    </row>
    <row r="1753">
      <c r="E1753" s="13" t="n"/>
    </row>
    <row r="1754">
      <c r="E1754" s="13" t="n"/>
    </row>
    <row r="1755">
      <c r="E1755" s="13" t="n"/>
    </row>
    <row r="1756">
      <c r="E1756" s="13" t="n"/>
    </row>
    <row r="1757">
      <c r="E1757" s="13" t="n"/>
    </row>
    <row r="1758">
      <c r="E1758" s="13" t="n"/>
    </row>
    <row r="1759">
      <c r="E1759" s="13" t="n"/>
    </row>
    <row r="1760">
      <c r="E1760" s="13" t="n"/>
    </row>
    <row r="1761">
      <c r="E1761" s="13" t="n"/>
    </row>
    <row r="1762">
      <c r="E1762" s="13" t="n"/>
    </row>
    <row r="1763">
      <c r="E1763" s="13" t="n"/>
    </row>
    <row r="1764">
      <c r="E1764" s="13" t="n"/>
    </row>
    <row r="1765">
      <c r="E1765" s="13" t="n"/>
    </row>
    <row r="1766">
      <c r="E1766" s="13" t="n"/>
    </row>
    <row r="1767">
      <c r="E1767" s="13" t="n"/>
    </row>
    <row r="1768">
      <c r="E1768" s="13" t="n"/>
    </row>
    <row r="1769">
      <c r="E1769" s="13" t="n"/>
    </row>
    <row r="1770">
      <c r="E1770" s="13" t="n"/>
    </row>
    <row r="1771">
      <c r="E1771" s="13" t="n"/>
    </row>
    <row r="1772">
      <c r="E1772" s="13" t="n"/>
    </row>
    <row r="1773">
      <c r="E1773" s="13" t="n"/>
    </row>
    <row r="1774">
      <c r="E1774" s="13" t="n"/>
    </row>
    <row r="1775">
      <c r="E1775" s="13" t="n"/>
    </row>
    <row r="1776">
      <c r="E1776" s="13" t="n"/>
    </row>
    <row r="1777">
      <c r="E1777" s="13" t="n"/>
    </row>
    <row r="1778">
      <c r="E1778" s="13" t="n"/>
    </row>
    <row r="1779">
      <c r="E1779" s="13" t="n"/>
    </row>
    <row r="1780">
      <c r="E1780" s="13" t="n"/>
    </row>
    <row r="1781">
      <c r="E1781" s="13" t="n"/>
    </row>
    <row r="1782">
      <c r="E1782" s="13" t="n"/>
    </row>
    <row r="1783">
      <c r="E1783" s="13" t="n"/>
    </row>
    <row r="1784">
      <c r="E1784" s="13" t="n"/>
    </row>
    <row r="1785">
      <c r="E1785" s="13" t="n"/>
    </row>
    <row r="1786">
      <c r="E1786" s="13" t="n"/>
    </row>
    <row r="1787">
      <c r="E1787" s="13" t="n"/>
    </row>
    <row r="1788">
      <c r="E1788" s="13" t="n"/>
    </row>
    <row r="1789">
      <c r="E1789" s="13" t="n"/>
    </row>
    <row r="1790">
      <c r="E1790" s="13" t="n"/>
    </row>
    <row r="1791">
      <c r="E1791" s="13" t="n"/>
    </row>
    <row r="1792">
      <c r="E1792" s="13" t="n"/>
    </row>
    <row r="1793">
      <c r="E1793" s="13" t="n"/>
    </row>
    <row r="1794">
      <c r="E1794" s="13" t="n"/>
    </row>
    <row r="1795">
      <c r="E1795" s="13" t="n"/>
    </row>
    <row r="1796">
      <c r="E1796" s="13" t="n"/>
    </row>
    <row r="1797">
      <c r="E1797" s="13" t="n"/>
    </row>
    <row r="1798">
      <c r="E1798" s="13" t="n"/>
    </row>
    <row r="1799">
      <c r="E1799" s="13" t="n"/>
    </row>
    <row r="1800">
      <c r="E1800" s="13" t="n"/>
    </row>
    <row r="1801">
      <c r="E1801" s="13" t="n"/>
    </row>
    <row r="1802">
      <c r="E1802" s="13" t="n"/>
    </row>
    <row r="1803">
      <c r="E1803" s="13" t="n"/>
    </row>
    <row r="1804">
      <c r="E1804" s="13" t="n"/>
    </row>
    <row r="1805">
      <c r="E1805" s="13" t="n"/>
    </row>
    <row r="1806">
      <c r="E1806" s="13" t="n"/>
    </row>
    <row r="1807">
      <c r="E1807" s="13" t="n"/>
    </row>
    <row r="1808">
      <c r="E1808" s="13" t="n"/>
    </row>
    <row r="1809">
      <c r="E1809" s="13" t="n"/>
    </row>
    <row r="1810">
      <c r="E1810" s="13" t="n"/>
    </row>
    <row r="1811">
      <c r="E1811" s="13" t="n"/>
    </row>
    <row r="1812">
      <c r="E1812" s="13" t="n"/>
    </row>
    <row r="1813">
      <c r="E1813" s="13" t="n"/>
    </row>
    <row r="1814">
      <c r="E1814" s="13" t="n"/>
    </row>
    <row r="1815">
      <c r="E1815" s="13" t="n"/>
    </row>
    <row r="1816">
      <c r="E1816" s="13" t="n"/>
    </row>
    <row r="1817">
      <c r="E1817" s="13" t="n"/>
    </row>
    <row r="1818">
      <c r="E1818" s="13" t="n"/>
    </row>
    <row r="1819">
      <c r="E1819" s="13" t="n"/>
    </row>
    <row r="1820">
      <c r="E1820" s="13" t="n"/>
    </row>
    <row r="1821">
      <c r="E1821" s="13" t="n"/>
    </row>
    <row r="1822">
      <c r="E1822" s="13" t="n"/>
    </row>
    <row r="1823">
      <c r="E1823" s="13" t="n"/>
    </row>
    <row r="1824">
      <c r="E1824" s="13" t="n"/>
    </row>
    <row r="1825">
      <c r="E1825" s="13" t="n"/>
    </row>
    <row r="1826">
      <c r="E1826" s="13" t="n"/>
    </row>
    <row r="1827">
      <c r="E1827" s="13" t="n"/>
    </row>
    <row r="1828">
      <c r="E1828" s="13" t="n"/>
    </row>
    <row r="1829">
      <c r="E1829" s="13" t="n"/>
    </row>
    <row r="1830">
      <c r="E1830" s="13" t="n"/>
    </row>
    <row r="1831">
      <c r="E1831" s="13" t="n"/>
    </row>
    <row r="1832">
      <c r="E1832" s="13" t="n"/>
    </row>
    <row r="1833">
      <c r="E1833" s="13" t="n"/>
    </row>
    <row r="1834">
      <c r="E1834" s="13" t="n"/>
    </row>
    <row r="1835">
      <c r="E1835" s="13" t="n"/>
    </row>
    <row r="1836">
      <c r="E1836" s="13" t="n"/>
    </row>
    <row r="1837">
      <c r="E1837" s="13" t="n"/>
    </row>
    <row r="1838">
      <c r="E1838" s="13" t="n"/>
    </row>
    <row r="1839">
      <c r="E1839" s="13" t="n"/>
    </row>
    <row r="1840">
      <c r="E1840" s="13" t="n"/>
    </row>
    <row r="1841">
      <c r="E1841" s="13" t="n"/>
    </row>
    <row r="1842">
      <c r="E1842" s="13" t="n"/>
    </row>
    <row r="1843">
      <c r="E1843" s="13" t="n"/>
    </row>
    <row r="1844">
      <c r="E1844" s="13" t="n"/>
    </row>
    <row r="1845">
      <c r="E1845" s="13" t="n"/>
    </row>
    <row r="1846">
      <c r="E1846" s="13" t="n"/>
    </row>
    <row r="1847">
      <c r="E1847" s="13" t="n"/>
    </row>
    <row r="1848">
      <c r="E1848" s="13" t="n"/>
    </row>
    <row r="1849">
      <c r="E1849" s="13" t="n"/>
    </row>
    <row r="1850">
      <c r="E1850" s="13" t="n"/>
    </row>
    <row r="1851">
      <c r="E1851" s="13" t="n"/>
    </row>
    <row r="1852">
      <c r="E1852" s="13" t="n"/>
    </row>
    <row r="1853">
      <c r="E1853" s="13" t="n"/>
    </row>
    <row r="1854">
      <c r="E1854" s="13" t="n"/>
    </row>
    <row r="1855">
      <c r="E1855" s="13" t="n"/>
    </row>
    <row r="1856">
      <c r="E1856" s="13" t="n"/>
    </row>
    <row r="1857">
      <c r="E1857" s="13" t="n"/>
    </row>
    <row r="1858">
      <c r="E1858" s="13" t="n"/>
    </row>
    <row r="1859">
      <c r="E1859" s="13" t="n"/>
    </row>
    <row r="1860">
      <c r="E1860" s="13" t="n"/>
    </row>
    <row r="1861">
      <c r="E1861" s="13" t="n"/>
    </row>
    <row r="1862">
      <c r="E1862" s="13" t="n"/>
    </row>
    <row r="1863">
      <c r="E1863" s="13" t="n"/>
    </row>
    <row r="1864">
      <c r="E1864" s="13" t="n"/>
    </row>
    <row r="1865">
      <c r="E1865" s="13" t="n"/>
    </row>
    <row r="1866">
      <c r="E1866" s="13" t="n"/>
    </row>
    <row r="1867">
      <c r="E1867" s="13" t="n"/>
    </row>
    <row r="1868">
      <c r="E1868" s="13" t="n"/>
    </row>
    <row r="1869">
      <c r="E1869" s="13" t="n"/>
    </row>
    <row r="1870">
      <c r="E1870" s="13" t="n"/>
    </row>
    <row r="1871">
      <c r="E1871" s="13" t="n"/>
    </row>
    <row r="1872">
      <c r="E1872" s="13" t="n"/>
    </row>
    <row r="1873">
      <c r="E1873" s="13" t="n"/>
    </row>
    <row r="1874">
      <c r="E1874" s="13" t="n"/>
    </row>
    <row r="1875">
      <c r="E1875" s="13" t="n"/>
    </row>
    <row r="1876">
      <c r="E1876" s="13" t="n"/>
    </row>
    <row r="1877">
      <c r="E1877" s="13" t="n"/>
    </row>
    <row r="1878">
      <c r="E1878" s="13" t="n"/>
    </row>
    <row r="1879">
      <c r="E1879" s="13" t="n"/>
    </row>
    <row r="1880">
      <c r="E1880" s="13" t="n"/>
    </row>
    <row r="1881">
      <c r="E1881" s="13" t="n"/>
    </row>
    <row r="1882">
      <c r="E1882" s="13" t="n"/>
    </row>
    <row r="1883">
      <c r="E1883" s="13" t="n"/>
    </row>
    <row r="1884">
      <c r="E1884" s="13" t="n"/>
    </row>
    <row r="1885">
      <c r="E1885" s="13" t="n"/>
    </row>
    <row r="1886">
      <c r="E1886" s="13" t="n"/>
    </row>
    <row r="1887">
      <c r="E1887" s="13" t="n"/>
    </row>
    <row r="1888">
      <c r="E1888" s="13" t="n"/>
    </row>
    <row r="1889">
      <c r="E1889" s="13" t="n"/>
    </row>
    <row r="1890">
      <c r="E1890" s="13" t="n"/>
    </row>
    <row r="1891">
      <c r="E1891" s="13" t="n"/>
    </row>
    <row r="1892">
      <c r="E1892" s="13" t="n"/>
    </row>
    <row r="1893">
      <c r="E1893" s="13" t="n"/>
    </row>
    <row r="1894">
      <c r="E1894" s="13" t="n"/>
    </row>
    <row r="1895">
      <c r="E1895" s="13" t="n"/>
    </row>
    <row r="1896">
      <c r="E1896" s="13" t="n"/>
    </row>
    <row r="1897">
      <c r="E1897" s="13" t="n"/>
    </row>
    <row r="1898">
      <c r="E1898" s="13" t="n"/>
    </row>
    <row r="1899">
      <c r="E1899" s="13" t="n"/>
    </row>
    <row r="1900">
      <c r="E1900" s="13" t="n"/>
    </row>
    <row r="1901">
      <c r="E1901" s="13" t="n"/>
    </row>
    <row r="1902">
      <c r="E1902" s="13" t="n"/>
    </row>
    <row r="1903">
      <c r="E1903" s="13" t="n"/>
    </row>
    <row r="1904">
      <c r="E1904" s="13" t="n"/>
    </row>
    <row r="1905">
      <c r="E1905" s="13" t="n"/>
    </row>
    <row r="1906">
      <c r="E1906" s="13" t="n"/>
    </row>
    <row r="1907">
      <c r="E1907" s="13" t="n"/>
    </row>
    <row r="1908">
      <c r="E1908" s="13" t="n"/>
    </row>
    <row r="1909">
      <c r="E1909" s="13" t="n"/>
    </row>
    <row r="1910">
      <c r="E1910" s="13" t="n"/>
    </row>
    <row r="1911">
      <c r="E1911" s="13" t="n"/>
    </row>
    <row r="1912">
      <c r="E1912" s="13" t="n"/>
    </row>
    <row r="1913">
      <c r="E1913" s="13" t="n"/>
    </row>
    <row r="1914">
      <c r="E1914" s="13" t="n"/>
    </row>
    <row r="1915">
      <c r="E1915" s="13" t="n"/>
    </row>
    <row r="1916">
      <c r="E1916" s="13" t="n"/>
    </row>
    <row r="1917">
      <c r="E1917" s="13" t="n"/>
    </row>
    <row r="1918">
      <c r="E1918" s="13" t="n"/>
    </row>
    <row r="1919">
      <c r="E1919" s="13" t="n"/>
    </row>
    <row r="1920">
      <c r="E1920" s="13" t="n"/>
    </row>
    <row r="1921">
      <c r="E1921" s="13" t="n"/>
    </row>
    <row r="1922">
      <c r="E1922" s="13" t="n"/>
    </row>
    <row r="1923">
      <c r="E1923" s="13" t="n"/>
    </row>
    <row r="1924">
      <c r="E1924" s="13" t="n"/>
    </row>
    <row r="1925">
      <c r="E1925" s="13" t="n"/>
    </row>
    <row r="1926">
      <c r="E1926" s="13" t="n"/>
    </row>
    <row r="1927">
      <c r="E1927" s="13" t="n"/>
    </row>
    <row r="1928">
      <c r="E1928" s="13" t="n"/>
    </row>
    <row r="1929">
      <c r="E1929" s="13" t="n"/>
    </row>
    <row r="1930">
      <c r="E1930" s="13" t="n"/>
    </row>
    <row r="1931">
      <c r="E1931" s="13" t="n"/>
    </row>
    <row r="1932">
      <c r="E1932" s="13" t="n"/>
    </row>
    <row r="1933">
      <c r="E1933" s="13" t="n"/>
    </row>
    <row r="1934">
      <c r="E1934" s="13" t="n"/>
    </row>
    <row r="1935">
      <c r="E1935" s="13" t="n"/>
    </row>
    <row r="1936">
      <c r="E1936" s="13" t="n"/>
    </row>
    <row r="1937">
      <c r="E1937" s="13" t="n"/>
    </row>
    <row r="1938">
      <c r="E1938" s="13" t="n"/>
    </row>
    <row r="1939">
      <c r="E1939" s="13" t="n"/>
    </row>
    <row r="1940">
      <c r="E1940" s="13" t="n"/>
    </row>
    <row r="1941">
      <c r="E1941" s="13" t="n"/>
    </row>
    <row r="1942">
      <c r="E1942" s="13" t="n"/>
    </row>
    <row r="1943">
      <c r="E1943" s="13" t="n"/>
    </row>
    <row r="1944">
      <c r="E1944" s="13" t="n"/>
    </row>
    <row r="1945">
      <c r="E1945" s="13" t="n"/>
    </row>
    <row r="1946">
      <c r="E1946" s="13" t="n"/>
    </row>
    <row r="1947">
      <c r="E1947" s="13" t="n"/>
    </row>
    <row r="1948">
      <c r="E1948" s="13" t="n"/>
    </row>
    <row r="1949">
      <c r="E1949" s="13" t="n"/>
    </row>
    <row r="1950">
      <c r="E1950" s="13" t="n"/>
    </row>
    <row r="1951">
      <c r="E1951" s="13" t="n"/>
    </row>
    <row r="1952">
      <c r="E1952" s="13" t="n"/>
    </row>
    <row r="1953">
      <c r="E1953" s="13" t="n"/>
    </row>
    <row r="1954">
      <c r="E1954" s="13" t="n"/>
    </row>
    <row r="1955">
      <c r="E1955" s="13" t="n"/>
    </row>
    <row r="1956">
      <c r="E1956" s="13" t="n"/>
    </row>
    <row r="1957">
      <c r="E1957" s="13" t="n"/>
    </row>
    <row r="1958">
      <c r="E1958" s="13" t="n"/>
    </row>
    <row r="1959">
      <c r="E1959" s="13" t="n"/>
    </row>
    <row r="1960">
      <c r="E1960" s="13" t="n"/>
    </row>
    <row r="1961">
      <c r="E1961" s="13" t="n"/>
    </row>
    <row r="1962">
      <c r="E1962" s="13" t="n"/>
    </row>
    <row r="1963">
      <c r="E1963" s="13" t="n"/>
    </row>
    <row r="1964">
      <c r="E1964" s="13" t="n"/>
    </row>
    <row r="1965">
      <c r="E1965" s="13" t="n"/>
    </row>
    <row r="1966">
      <c r="E1966" s="13" t="n"/>
    </row>
    <row r="1967">
      <c r="E1967" s="13" t="n"/>
    </row>
    <row r="1968">
      <c r="E1968" s="13" t="n"/>
    </row>
    <row r="1969">
      <c r="E1969" s="13" t="n"/>
    </row>
    <row r="1970">
      <c r="E1970" s="13" t="n"/>
    </row>
    <row r="1971">
      <c r="E1971" s="13" t="n"/>
    </row>
    <row r="1972">
      <c r="E1972" s="13" t="n"/>
    </row>
    <row r="1973">
      <c r="E1973" s="13" t="n"/>
    </row>
    <row r="1974">
      <c r="E1974" s="13" t="n"/>
    </row>
    <row r="1975">
      <c r="E1975" s="13" t="n"/>
    </row>
    <row r="1976">
      <c r="E1976" s="13" t="n"/>
    </row>
    <row r="1977">
      <c r="E1977" s="13" t="n"/>
    </row>
    <row r="1978">
      <c r="E1978" s="13" t="n"/>
    </row>
    <row r="1979">
      <c r="E1979" s="13" t="n"/>
    </row>
    <row r="1980">
      <c r="E1980" s="13" t="n"/>
    </row>
    <row r="1981">
      <c r="E1981" s="13" t="n"/>
    </row>
    <row r="1982">
      <c r="E1982" s="13" t="n"/>
    </row>
    <row r="1983">
      <c r="E1983" s="13" t="n"/>
    </row>
    <row r="1984">
      <c r="E1984" s="13" t="n"/>
    </row>
    <row r="1985">
      <c r="E1985" s="13" t="n"/>
    </row>
    <row r="1986">
      <c r="E1986" s="13" t="n"/>
    </row>
    <row r="1987">
      <c r="E1987" s="13" t="n"/>
    </row>
    <row r="1988">
      <c r="E1988" s="13" t="n"/>
    </row>
    <row r="1989">
      <c r="E1989" s="13" t="n"/>
    </row>
    <row r="1990">
      <c r="E1990" s="13" t="n"/>
    </row>
    <row r="1991">
      <c r="E1991" s="13" t="n"/>
    </row>
    <row r="1992">
      <c r="E1992" s="13" t="n"/>
    </row>
    <row r="1993">
      <c r="E1993" s="13" t="n"/>
    </row>
    <row r="1994">
      <c r="E1994" s="13" t="n"/>
    </row>
    <row r="1995">
      <c r="E1995" s="13" t="n"/>
    </row>
    <row r="1996">
      <c r="E1996" s="13" t="n"/>
    </row>
    <row r="1997">
      <c r="E1997" s="13" t="n"/>
    </row>
    <row r="1998">
      <c r="E1998" s="13" t="n"/>
    </row>
    <row r="1999">
      <c r="E1999" s="13" t="n"/>
    </row>
    <row r="2000">
      <c r="E2000" s="13" t="n"/>
    </row>
    <row r="2001">
      <c r="E2001" s="13" t="n"/>
    </row>
    <row r="2002">
      <c r="E2002" s="13" t="n"/>
    </row>
    <row r="2003">
      <c r="E2003" s="13" t="n"/>
    </row>
    <row r="2004">
      <c r="E2004" s="13" t="n"/>
    </row>
    <row r="2005">
      <c r="E2005" s="13" t="n"/>
    </row>
    <row r="2006">
      <c r="E2006" s="13" t="n"/>
    </row>
    <row r="2007">
      <c r="E2007" s="13" t="n"/>
    </row>
    <row r="2008">
      <c r="E2008" s="13" t="n"/>
    </row>
    <row r="2009">
      <c r="E2009" s="13" t="n"/>
    </row>
    <row r="2010">
      <c r="E2010" s="13" t="n"/>
    </row>
    <row r="2011">
      <c r="E2011" s="13" t="n"/>
    </row>
    <row r="2012">
      <c r="E2012" s="13" t="n"/>
    </row>
    <row r="2013">
      <c r="E2013" s="13" t="n"/>
    </row>
    <row r="2014">
      <c r="E2014" s="13" t="n"/>
    </row>
    <row r="2015">
      <c r="E2015" s="13" t="n"/>
    </row>
    <row r="2016">
      <c r="E2016" s="13" t="n"/>
    </row>
    <row r="2017">
      <c r="E2017" s="13" t="n"/>
    </row>
    <row r="2018">
      <c r="E2018" s="13" t="n"/>
    </row>
    <row r="2019">
      <c r="E2019" s="13" t="n"/>
    </row>
    <row r="2020">
      <c r="E2020" s="13" t="n"/>
    </row>
    <row r="2021">
      <c r="E2021" s="13" t="n"/>
    </row>
    <row r="2022">
      <c r="E2022" s="13" t="n"/>
    </row>
    <row r="2023">
      <c r="E2023" s="13" t="n"/>
    </row>
    <row r="2024">
      <c r="E2024" s="13" t="n"/>
    </row>
    <row r="2025">
      <c r="E2025" s="13" t="n"/>
    </row>
    <row r="2026">
      <c r="E2026" s="13" t="n"/>
    </row>
    <row r="2027">
      <c r="E2027" s="13" t="n"/>
    </row>
    <row r="2028">
      <c r="E2028" s="13" t="n"/>
    </row>
    <row r="2029">
      <c r="E2029" s="13" t="n"/>
    </row>
    <row r="2030">
      <c r="E2030" s="13" t="n"/>
    </row>
    <row r="2031">
      <c r="E2031" s="13" t="n"/>
    </row>
    <row r="2032">
      <c r="E2032" s="13" t="n"/>
    </row>
    <row r="2033">
      <c r="E2033" s="13" t="n"/>
    </row>
    <row r="2034">
      <c r="E2034" s="13" t="n"/>
    </row>
    <row r="2035">
      <c r="E2035" s="13" t="n"/>
    </row>
    <row r="2036">
      <c r="E2036" s="13" t="n"/>
    </row>
    <row r="2037">
      <c r="E2037" s="13" t="n"/>
    </row>
    <row r="2038">
      <c r="E2038" s="13" t="n"/>
    </row>
    <row r="2039">
      <c r="E2039" s="13" t="n"/>
    </row>
    <row r="2040">
      <c r="E2040" s="13" t="n"/>
    </row>
    <row r="2041">
      <c r="E2041" s="13" t="n"/>
    </row>
    <row r="2042">
      <c r="E2042" s="13" t="n"/>
    </row>
    <row r="2043">
      <c r="E2043" s="13" t="n"/>
    </row>
    <row r="2044">
      <c r="E2044" s="13" t="n"/>
    </row>
    <row r="2045">
      <c r="E2045" s="13" t="n"/>
    </row>
    <row r="2046">
      <c r="E2046" s="13" t="n"/>
    </row>
    <row r="2047">
      <c r="E2047" s="13" t="n"/>
    </row>
    <row r="2048">
      <c r="E2048" s="13" t="n"/>
    </row>
    <row r="2049">
      <c r="E2049" s="13" t="n"/>
    </row>
    <row r="2050">
      <c r="E2050" s="13" t="n"/>
    </row>
    <row r="2051">
      <c r="E2051" s="13" t="n"/>
    </row>
    <row r="2052">
      <c r="E2052" s="13" t="n"/>
    </row>
    <row r="2053">
      <c r="E2053" s="13" t="n"/>
    </row>
    <row r="2054">
      <c r="E2054" s="13" t="n"/>
    </row>
    <row r="2055">
      <c r="E2055" s="13" t="n"/>
    </row>
    <row r="2056">
      <c r="E2056" s="13" t="n"/>
    </row>
    <row r="2057">
      <c r="E2057" s="13" t="n"/>
    </row>
    <row r="2058">
      <c r="E2058" s="13" t="n"/>
    </row>
    <row r="2059">
      <c r="E2059" s="13" t="n"/>
    </row>
    <row r="2060">
      <c r="E2060" s="13" t="n"/>
    </row>
    <row r="2061">
      <c r="E2061" s="13" t="n"/>
    </row>
    <row r="2062">
      <c r="E2062" s="13" t="n"/>
    </row>
    <row r="2063">
      <c r="E2063" s="13" t="n"/>
    </row>
    <row r="2064">
      <c r="E2064" s="13" t="n"/>
    </row>
    <row r="2065">
      <c r="E2065" s="13" t="n"/>
    </row>
    <row r="2066">
      <c r="E2066" s="13" t="n"/>
    </row>
    <row r="2067">
      <c r="E2067" s="13" t="n"/>
    </row>
    <row r="2068">
      <c r="E2068" s="13" t="n"/>
    </row>
    <row r="2069">
      <c r="E2069" s="13" t="n"/>
    </row>
    <row r="2070">
      <c r="E2070" s="13" t="n"/>
    </row>
    <row r="2071">
      <c r="E2071" s="13" t="n"/>
    </row>
    <row r="2072">
      <c r="E2072" s="13" t="n"/>
    </row>
    <row r="2073">
      <c r="E2073" s="13" t="n"/>
    </row>
    <row r="2074">
      <c r="E2074" s="13" t="n"/>
    </row>
    <row r="2075">
      <c r="E2075" s="13" t="n"/>
    </row>
    <row r="2076">
      <c r="E2076" s="13" t="n"/>
    </row>
    <row r="2077">
      <c r="E2077" s="13" t="n"/>
    </row>
    <row r="2078">
      <c r="E2078" s="13" t="n"/>
    </row>
    <row r="2079">
      <c r="E2079" s="13" t="n"/>
    </row>
    <row r="2080">
      <c r="E2080" s="13" t="n"/>
    </row>
    <row r="2081">
      <c r="E2081" s="13" t="n"/>
    </row>
    <row r="2082">
      <c r="E2082" s="13" t="n"/>
    </row>
    <row r="2083">
      <c r="E2083" s="13" t="n"/>
    </row>
    <row r="2084">
      <c r="E2084" s="13" t="n"/>
    </row>
    <row r="2085">
      <c r="E2085" s="13" t="n"/>
    </row>
    <row r="2086">
      <c r="E2086" s="13" t="n"/>
    </row>
    <row r="2087">
      <c r="E2087" s="13" t="n"/>
    </row>
    <row r="2088">
      <c r="E2088" s="13" t="n"/>
    </row>
    <row r="2089">
      <c r="E2089" s="13" t="n"/>
    </row>
    <row r="2090">
      <c r="E2090" s="13" t="n"/>
    </row>
    <row r="2091">
      <c r="E2091" s="13" t="n"/>
    </row>
    <row r="2092">
      <c r="E2092" s="13" t="n"/>
    </row>
    <row r="2093">
      <c r="E2093" s="13" t="n"/>
    </row>
    <row r="2094">
      <c r="E2094" s="13" t="n"/>
    </row>
    <row r="2095">
      <c r="E2095" s="13" t="n"/>
    </row>
    <row r="2096">
      <c r="E2096" s="13" t="n"/>
    </row>
    <row r="2097">
      <c r="E2097" s="13" t="n"/>
    </row>
    <row r="2098">
      <c r="E2098" s="13" t="n"/>
    </row>
    <row r="2099">
      <c r="E2099" s="13" t="n"/>
    </row>
    <row r="2100">
      <c r="E2100" s="13" t="n"/>
    </row>
    <row r="2101">
      <c r="E2101" s="13" t="n"/>
    </row>
    <row r="2102">
      <c r="E2102" s="13" t="n"/>
    </row>
    <row r="2103">
      <c r="E2103" s="13" t="n"/>
    </row>
    <row r="2104">
      <c r="E2104" s="13" t="n"/>
    </row>
    <row r="2105">
      <c r="E2105" s="13" t="n"/>
    </row>
    <row r="2106">
      <c r="E2106" s="13" t="n"/>
    </row>
    <row r="2107">
      <c r="E2107" s="13" t="n"/>
    </row>
    <row r="2108">
      <c r="E2108" s="13" t="n"/>
    </row>
    <row r="2109">
      <c r="E2109" s="13" t="n"/>
    </row>
    <row r="2110">
      <c r="E2110" s="13" t="n"/>
    </row>
    <row r="2111">
      <c r="E2111" s="13" t="n"/>
    </row>
    <row r="2112">
      <c r="E2112" s="13" t="n"/>
    </row>
    <row r="2113">
      <c r="E2113" s="13" t="n"/>
    </row>
    <row r="2114">
      <c r="E2114" s="13" t="n"/>
    </row>
    <row r="2115">
      <c r="E2115" s="13" t="n"/>
    </row>
    <row r="2116">
      <c r="E2116" s="13" t="n"/>
    </row>
    <row r="2117">
      <c r="E2117" s="13" t="n"/>
    </row>
    <row r="2118">
      <c r="E2118" s="13" t="n"/>
    </row>
    <row r="2119">
      <c r="E2119" s="13" t="n"/>
    </row>
    <row r="2120">
      <c r="E2120" s="13" t="n"/>
    </row>
    <row r="2121">
      <c r="E2121" s="13" t="n"/>
    </row>
    <row r="2122">
      <c r="E2122" s="13" t="n"/>
    </row>
    <row r="2123">
      <c r="E2123" s="13" t="n"/>
    </row>
    <row r="2124">
      <c r="E2124" s="13" t="n"/>
    </row>
    <row r="2125">
      <c r="E2125" s="13" t="n"/>
    </row>
    <row r="2126">
      <c r="E2126" s="13" t="n"/>
    </row>
    <row r="2127">
      <c r="E2127" s="13" t="n"/>
    </row>
    <row r="2128">
      <c r="E2128" s="13" t="n"/>
    </row>
    <row r="2129">
      <c r="E2129" s="13" t="n"/>
    </row>
    <row r="2130">
      <c r="E2130" s="13" t="n"/>
    </row>
    <row r="2131">
      <c r="E2131" s="13" t="n"/>
    </row>
    <row r="2132">
      <c r="E2132" s="13" t="n"/>
    </row>
    <row r="2133">
      <c r="E2133" s="13" t="n"/>
    </row>
    <row r="2134">
      <c r="E2134" s="13" t="n"/>
    </row>
    <row r="2135">
      <c r="E2135" s="13" t="n"/>
    </row>
    <row r="2136">
      <c r="E2136" s="13" t="n"/>
    </row>
    <row r="2137">
      <c r="E2137" s="13" t="n"/>
    </row>
    <row r="2138">
      <c r="E2138" s="13" t="n"/>
    </row>
    <row r="2139">
      <c r="E2139" s="13" t="n"/>
    </row>
    <row r="2140">
      <c r="E2140" s="13" t="n"/>
    </row>
    <row r="2141">
      <c r="E2141" s="13" t="n"/>
    </row>
    <row r="2142">
      <c r="E2142" s="13" t="n"/>
    </row>
    <row r="2143">
      <c r="E2143" s="13" t="n"/>
    </row>
    <row r="2144">
      <c r="E2144" s="13" t="n"/>
    </row>
    <row r="2145">
      <c r="E2145" s="13" t="n"/>
    </row>
    <row r="2146">
      <c r="E2146" s="13" t="n"/>
    </row>
    <row r="2147">
      <c r="E2147" s="13" t="n"/>
    </row>
    <row r="2148">
      <c r="E2148" s="13" t="n"/>
    </row>
    <row r="2149">
      <c r="E2149" s="13" t="n"/>
    </row>
    <row r="2150">
      <c r="E2150" s="13" t="n"/>
    </row>
    <row r="2151">
      <c r="E2151" s="13" t="n"/>
    </row>
    <row r="2152">
      <c r="E2152" s="13" t="n"/>
    </row>
    <row r="2153">
      <c r="E2153" s="13" t="n"/>
    </row>
    <row r="2154">
      <c r="E2154" s="13" t="n"/>
    </row>
    <row r="2155">
      <c r="E2155" s="13" t="n"/>
    </row>
    <row r="2156">
      <c r="E2156" s="13" t="n"/>
    </row>
    <row r="2157">
      <c r="E2157" s="13" t="n"/>
    </row>
    <row r="2158">
      <c r="E2158" s="13" t="n"/>
    </row>
    <row r="2159">
      <c r="E2159" s="13" t="n"/>
    </row>
    <row r="2160">
      <c r="E2160" s="13" t="n"/>
    </row>
    <row r="2161">
      <c r="E2161" s="13" t="n"/>
    </row>
    <row r="2162">
      <c r="E2162" s="13" t="n"/>
    </row>
    <row r="2163">
      <c r="E2163" s="13" t="n"/>
    </row>
    <row r="2164">
      <c r="E2164" s="13" t="n"/>
    </row>
    <row r="2165">
      <c r="E2165" s="13" t="n"/>
    </row>
    <row r="2166">
      <c r="E2166" s="13" t="n"/>
    </row>
    <row r="2167">
      <c r="E2167" s="13" t="n"/>
    </row>
    <row r="2168">
      <c r="E2168" s="13" t="n"/>
    </row>
    <row r="2169">
      <c r="E2169" s="13" t="n"/>
    </row>
    <row r="2170">
      <c r="E2170" s="13" t="n"/>
    </row>
    <row r="2171">
      <c r="E2171" s="13" t="n"/>
    </row>
    <row r="2172">
      <c r="E2172" s="13" t="n"/>
    </row>
    <row r="2173">
      <c r="E2173" s="13" t="n"/>
    </row>
    <row r="2174">
      <c r="E2174" s="13" t="n"/>
    </row>
    <row r="2175">
      <c r="E2175" s="13" t="n"/>
    </row>
    <row r="2176">
      <c r="E2176" s="13" t="n"/>
    </row>
    <row r="2177">
      <c r="E2177" s="13" t="n"/>
    </row>
    <row r="2178">
      <c r="E2178" s="13" t="n"/>
    </row>
    <row r="2179">
      <c r="E2179" s="13" t="n"/>
    </row>
    <row r="2180">
      <c r="E2180" s="13" t="n"/>
    </row>
    <row r="2181">
      <c r="E2181" s="13" t="n"/>
    </row>
    <row r="2182">
      <c r="E2182" s="13" t="n"/>
    </row>
    <row r="2183">
      <c r="E2183" s="13" t="n"/>
    </row>
    <row r="2184">
      <c r="E2184" s="13" t="n"/>
    </row>
    <row r="2185">
      <c r="E2185" s="13" t="n"/>
    </row>
    <row r="2186">
      <c r="E2186" s="13" t="n"/>
    </row>
    <row r="2187">
      <c r="E2187" s="13" t="n"/>
    </row>
    <row r="2188">
      <c r="E2188" s="13" t="n"/>
    </row>
    <row r="2189">
      <c r="E2189" s="13" t="n"/>
    </row>
    <row r="2190">
      <c r="E2190" s="13" t="n"/>
    </row>
    <row r="2191">
      <c r="E2191" s="13" t="n"/>
    </row>
    <row r="2192">
      <c r="E2192" s="13" t="n"/>
    </row>
    <row r="2193">
      <c r="E2193" s="13" t="n"/>
    </row>
    <row r="2194">
      <c r="E2194" s="13" t="n"/>
    </row>
    <row r="2195">
      <c r="E2195" s="13" t="n"/>
    </row>
    <row r="2196">
      <c r="E2196" s="13" t="n"/>
    </row>
    <row r="2197">
      <c r="E2197" s="13" t="n"/>
    </row>
    <row r="2198">
      <c r="E2198" s="13" t="n"/>
    </row>
    <row r="2199">
      <c r="E2199" s="13" t="n"/>
    </row>
    <row r="2200">
      <c r="E2200" s="13" t="n"/>
    </row>
    <row r="2201">
      <c r="E2201" s="13" t="n"/>
    </row>
    <row r="2202">
      <c r="E2202" s="13" t="n"/>
    </row>
    <row r="2203">
      <c r="E2203" s="13" t="n"/>
    </row>
    <row r="2204">
      <c r="E2204" s="13" t="n"/>
    </row>
    <row r="2205">
      <c r="E2205" s="13" t="n"/>
    </row>
    <row r="2206">
      <c r="E2206" s="13" t="n"/>
    </row>
    <row r="2207">
      <c r="E2207" s="13" t="n"/>
    </row>
    <row r="2208">
      <c r="E2208" s="13" t="n"/>
    </row>
    <row r="2209">
      <c r="E2209" s="13" t="n"/>
    </row>
    <row r="2210">
      <c r="E2210" s="13" t="n"/>
    </row>
    <row r="2211">
      <c r="E2211" s="13" t="n"/>
    </row>
    <row r="2212">
      <c r="E2212" s="13" t="n"/>
    </row>
    <row r="2213">
      <c r="E2213" s="13" t="n"/>
    </row>
    <row r="2214">
      <c r="E2214" s="13" t="n"/>
    </row>
    <row r="2215">
      <c r="E2215" s="13" t="n"/>
    </row>
    <row r="2216">
      <c r="E2216" s="13" t="n"/>
    </row>
    <row r="2217">
      <c r="E2217" s="13" t="n"/>
    </row>
    <row r="2218">
      <c r="E2218" s="13" t="n"/>
    </row>
    <row r="2219">
      <c r="E2219" s="13" t="n"/>
    </row>
    <row r="2220">
      <c r="E2220" s="13" t="n"/>
    </row>
    <row r="2221">
      <c r="E2221" s="13" t="n"/>
    </row>
    <row r="2222">
      <c r="E2222" s="13" t="n"/>
    </row>
    <row r="2223">
      <c r="E2223" s="13" t="n"/>
    </row>
    <row r="2224">
      <c r="E2224" s="13" t="n"/>
    </row>
    <row r="2225">
      <c r="E2225" s="13" t="n"/>
    </row>
    <row r="2226">
      <c r="E2226" s="13" t="n"/>
    </row>
    <row r="2227">
      <c r="E2227" s="13" t="n"/>
    </row>
    <row r="2228">
      <c r="E2228" s="13" t="n"/>
    </row>
    <row r="2229">
      <c r="E2229" s="13" t="n"/>
    </row>
    <row r="2230">
      <c r="E2230" s="13" t="n"/>
    </row>
    <row r="2231">
      <c r="E2231" s="13" t="n"/>
    </row>
    <row r="2232">
      <c r="E2232" s="13" t="n"/>
    </row>
    <row r="2233">
      <c r="E2233" s="13" t="n"/>
    </row>
    <row r="2234">
      <c r="E2234" s="13" t="n"/>
    </row>
    <row r="2235">
      <c r="E2235" s="13" t="n"/>
    </row>
    <row r="2236">
      <c r="E2236" s="13" t="n"/>
    </row>
    <row r="2237">
      <c r="E2237" s="13" t="n"/>
    </row>
    <row r="2238">
      <c r="E2238" s="13" t="n"/>
    </row>
    <row r="2239">
      <c r="E2239" s="13" t="n"/>
    </row>
    <row r="2240">
      <c r="E2240" s="13" t="n"/>
    </row>
    <row r="2241">
      <c r="E2241" s="13" t="n"/>
    </row>
    <row r="2242">
      <c r="E2242" s="13" t="n"/>
    </row>
    <row r="2243">
      <c r="E2243" s="13" t="n"/>
    </row>
    <row r="2244">
      <c r="E2244" s="13" t="n"/>
    </row>
    <row r="2245">
      <c r="E2245" s="13" t="n"/>
    </row>
    <row r="2246">
      <c r="E2246" s="13" t="n"/>
    </row>
    <row r="2247">
      <c r="E2247" s="13" t="n"/>
    </row>
    <row r="2248">
      <c r="E2248" s="13" t="n"/>
    </row>
    <row r="2249">
      <c r="E2249" s="13" t="n"/>
    </row>
    <row r="2250">
      <c r="E2250" s="13" t="n"/>
    </row>
    <row r="2251">
      <c r="E2251" s="13" t="n"/>
    </row>
    <row r="2252">
      <c r="E2252" s="13" t="n"/>
    </row>
    <row r="2253">
      <c r="E2253" s="13" t="n"/>
    </row>
    <row r="2254">
      <c r="E2254" s="13" t="n"/>
    </row>
    <row r="2255">
      <c r="E2255" s="13" t="n"/>
    </row>
    <row r="2256">
      <c r="E2256" s="13" t="n"/>
    </row>
    <row r="2257">
      <c r="E2257" s="13" t="n"/>
    </row>
    <row r="2258">
      <c r="E2258" s="13" t="n"/>
    </row>
    <row r="2259">
      <c r="E2259" s="13" t="n"/>
    </row>
    <row r="2260">
      <c r="E2260" s="13" t="n"/>
    </row>
    <row r="2261">
      <c r="E2261" s="13" t="n"/>
    </row>
    <row r="2262">
      <c r="E2262" s="13" t="n"/>
    </row>
    <row r="2263">
      <c r="E2263" s="13" t="n"/>
    </row>
    <row r="2264">
      <c r="E2264" s="13" t="n"/>
    </row>
    <row r="2265">
      <c r="E2265" s="13" t="n"/>
    </row>
    <row r="2266">
      <c r="E2266" s="13" t="n"/>
    </row>
    <row r="2267">
      <c r="E2267" s="13" t="n"/>
    </row>
    <row r="2268">
      <c r="E2268" s="13" t="n"/>
    </row>
    <row r="2269">
      <c r="E2269" s="13" t="n"/>
    </row>
    <row r="2270">
      <c r="E2270" s="13" t="n"/>
    </row>
    <row r="2271">
      <c r="E2271" s="13" t="n"/>
    </row>
    <row r="2272">
      <c r="E2272" s="13" t="n"/>
    </row>
    <row r="2273">
      <c r="E2273" s="13" t="n"/>
    </row>
    <row r="2274">
      <c r="E2274" s="13" t="n"/>
    </row>
    <row r="2275">
      <c r="E2275" s="13" t="n"/>
    </row>
    <row r="2276">
      <c r="E2276" s="13" t="n"/>
    </row>
    <row r="2277">
      <c r="E2277" s="13" t="n"/>
    </row>
    <row r="2278">
      <c r="E2278" s="13" t="n"/>
    </row>
    <row r="2279">
      <c r="E2279" s="13" t="n"/>
    </row>
    <row r="2280">
      <c r="E2280" s="13" t="n"/>
    </row>
    <row r="2281">
      <c r="E2281" s="13" t="n"/>
    </row>
    <row r="2282">
      <c r="E2282" s="13" t="n"/>
    </row>
    <row r="2283">
      <c r="E2283" s="13" t="n"/>
    </row>
    <row r="2284">
      <c r="E2284" s="13" t="n"/>
    </row>
    <row r="2285">
      <c r="E2285" s="13" t="n"/>
    </row>
    <row r="2286">
      <c r="E2286" s="13" t="n"/>
    </row>
    <row r="2287">
      <c r="E2287" s="13" t="n"/>
    </row>
    <row r="2288">
      <c r="E2288" s="13" t="n"/>
    </row>
    <row r="2289">
      <c r="E2289" s="13" t="n"/>
    </row>
    <row r="2290">
      <c r="E2290" s="13" t="n"/>
    </row>
    <row r="2291">
      <c r="E2291" s="13" t="n"/>
    </row>
    <row r="2292">
      <c r="E2292" s="13" t="n"/>
    </row>
    <row r="2293">
      <c r="E2293" s="13" t="n"/>
    </row>
    <row r="2294">
      <c r="E2294" s="13" t="n"/>
    </row>
    <row r="2295">
      <c r="E2295" s="13" t="n"/>
    </row>
    <row r="2296">
      <c r="E2296" s="13" t="n"/>
    </row>
    <row r="2297">
      <c r="E2297" s="13" t="n"/>
    </row>
    <row r="2298">
      <c r="E2298" s="13" t="n"/>
    </row>
    <row r="2299">
      <c r="E2299" s="13" t="n"/>
    </row>
    <row r="2300">
      <c r="E2300" s="13" t="n"/>
    </row>
    <row r="2301">
      <c r="E2301" s="13" t="n"/>
    </row>
    <row r="2302">
      <c r="E2302" s="13" t="n"/>
    </row>
    <row r="2303">
      <c r="E2303" s="13" t="n"/>
    </row>
    <row r="2304">
      <c r="E2304" s="13" t="n"/>
    </row>
    <row r="2305">
      <c r="E2305" s="13" t="n"/>
    </row>
    <row r="2306">
      <c r="E2306" s="13" t="n"/>
    </row>
    <row r="2307">
      <c r="E2307" s="13" t="n"/>
    </row>
    <row r="2308">
      <c r="E2308" s="13" t="n"/>
    </row>
    <row r="2309">
      <c r="E2309" s="13" t="n"/>
    </row>
    <row r="2310">
      <c r="E2310" s="13" t="n"/>
    </row>
    <row r="2311">
      <c r="E2311" s="13" t="n"/>
    </row>
    <row r="2312">
      <c r="E2312" s="13" t="n"/>
    </row>
    <row r="2313">
      <c r="E2313" s="13" t="n"/>
    </row>
    <row r="2314">
      <c r="E2314" s="13" t="n"/>
    </row>
    <row r="2315">
      <c r="E2315" s="13" t="n"/>
    </row>
    <row r="2316">
      <c r="E2316" s="13" t="n"/>
    </row>
    <row r="2317">
      <c r="E2317" s="13" t="n"/>
    </row>
    <row r="2318">
      <c r="E2318" s="13" t="n"/>
    </row>
    <row r="2319">
      <c r="E2319" s="13" t="n"/>
    </row>
    <row r="2320">
      <c r="E2320" s="13" t="n"/>
    </row>
    <row r="2321">
      <c r="E2321" s="13" t="n"/>
    </row>
    <row r="2322">
      <c r="E2322" s="13" t="n"/>
    </row>
    <row r="2323">
      <c r="E2323" s="13" t="n"/>
    </row>
    <row r="2324">
      <c r="E2324" s="13" t="n"/>
    </row>
    <row r="2325">
      <c r="E2325" s="13" t="n"/>
    </row>
    <row r="2326">
      <c r="E2326" s="13" t="n"/>
    </row>
    <row r="2327">
      <c r="E2327" s="13" t="n"/>
    </row>
    <row r="2328">
      <c r="E2328" s="13" t="n"/>
    </row>
    <row r="2329">
      <c r="E2329" s="13" t="n"/>
    </row>
    <row r="2330">
      <c r="E2330" s="13" t="n"/>
    </row>
    <row r="2331">
      <c r="E2331" s="13" t="n"/>
    </row>
    <row r="2332">
      <c r="E2332" s="13" t="n"/>
    </row>
    <row r="2333">
      <c r="E2333" s="13" t="n"/>
    </row>
    <row r="2334">
      <c r="E2334" s="13" t="n"/>
    </row>
    <row r="2335">
      <c r="E2335" s="13" t="n"/>
    </row>
    <row r="2336">
      <c r="E2336" s="13" t="n"/>
    </row>
    <row r="2337">
      <c r="E2337" s="13" t="n"/>
    </row>
    <row r="2338">
      <c r="E2338" s="13" t="n"/>
    </row>
    <row r="2339">
      <c r="E2339" s="13" t="n"/>
    </row>
    <row r="2340">
      <c r="E2340" s="13" t="n"/>
    </row>
    <row r="2341">
      <c r="E2341" s="13" t="n"/>
    </row>
    <row r="2342">
      <c r="E2342" s="13" t="n"/>
    </row>
    <row r="2343">
      <c r="E2343" s="13" t="n"/>
    </row>
    <row r="2344">
      <c r="E2344" s="13" t="n"/>
    </row>
    <row r="2345">
      <c r="E2345" s="13" t="n"/>
    </row>
    <row r="2346">
      <c r="E2346" s="13" t="n"/>
    </row>
    <row r="2347">
      <c r="E2347" s="13" t="n"/>
    </row>
    <row r="2348">
      <c r="E2348" s="13" t="n"/>
    </row>
    <row r="2349">
      <c r="E2349" s="13" t="n"/>
    </row>
    <row r="2350">
      <c r="E2350" s="13" t="n"/>
    </row>
    <row r="2351">
      <c r="E2351" s="13" t="n"/>
    </row>
    <row r="2352">
      <c r="E2352" s="13" t="n"/>
    </row>
    <row r="2353">
      <c r="E2353" s="13" t="n"/>
    </row>
    <row r="2354">
      <c r="E2354" s="13" t="n"/>
    </row>
    <row r="2355">
      <c r="E2355" s="13" t="n"/>
    </row>
    <row r="2356">
      <c r="E2356" s="13" t="n"/>
    </row>
    <row r="2357">
      <c r="E2357" s="13" t="n"/>
    </row>
    <row r="2358">
      <c r="E2358" s="13" t="n"/>
    </row>
    <row r="2359">
      <c r="E2359" s="13" t="n"/>
    </row>
    <row r="2360">
      <c r="E2360" s="13" t="n"/>
    </row>
    <row r="2361">
      <c r="E2361" s="13" t="n"/>
    </row>
    <row r="2362">
      <c r="E2362" s="13" t="n"/>
    </row>
    <row r="2363">
      <c r="E2363" s="13" t="n"/>
    </row>
    <row r="2364">
      <c r="E2364" s="13" t="n"/>
    </row>
    <row r="2365">
      <c r="E2365" s="13" t="n"/>
    </row>
    <row r="2366">
      <c r="E2366" s="13" t="n"/>
    </row>
    <row r="2367">
      <c r="E2367" s="13" t="n"/>
    </row>
    <row r="2368">
      <c r="E2368" s="13" t="n"/>
    </row>
    <row r="2369">
      <c r="E2369" s="13" t="n"/>
    </row>
    <row r="2370">
      <c r="E2370" s="13" t="n"/>
    </row>
    <row r="2371">
      <c r="E2371" s="13" t="n"/>
    </row>
    <row r="2372">
      <c r="E2372" s="13" t="n"/>
    </row>
    <row r="2373">
      <c r="E2373" s="13" t="n"/>
    </row>
    <row r="2374">
      <c r="E2374" s="13" t="n"/>
    </row>
    <row r="2375">
      <c r="E2375" s="13" t="n"/>
    </row>
    <row r="2376">
      <c r="E2376" s="13" t="n"/>
    </row>
    <row r="2377">
      <c r="E2377" s="13" t="n"/>
    </row>
    <row r="2378">
      <c r="E2378" s="13" t="n"/>
    </row>
    <row r="2379">
      <c r="E2379" s="13" t="n"/>
    </row>
    <row r="2380">
      <c r="E2380" s="13" t="n"/>
    </row>
    <row r="2381">
      <c r="E2381" s="13" t="n"/>
    </row>
    <row r="2382">
      <c r="E2382" s="13" t="n"/>
    </row>
    <row r="2383">
      <c r="E2383" s="13" t="n"/>
    </row>
    <row r="2384">
      <c r="E2384" s="13" t="n"/>
    </row>
    <row r="2385">
      <c r="E2385" s="13" t="n"/>
    </row>
    <row r="2386">
      <c r="E2386" s="13" t="n"/>
    </row>
    <row r="2387">
      <c r="E2387" s="13" t="n"/>
    </row>
    <row r="2388">
      <c r="E2388" s="13" t="n"/>
    </row>
    <row r="2389">
      <c r="E2389" s="13" t="n"/>
    </row>
    <row r="2390">
      <c r="E2390" s="13" t="n"/>
    </row>
    <row r="2391">
      <c r="E2391" s="13" t="n"/>
    </row>
    <row r="2392">
      <c r="E2392" s="13" t="n"/>
    </row>
    <row r="2393">
      <c r="E2393" s="13" t="n"/>
    </row>
    <row r="2394">
      <c r="E2394" s="13" t="n"/>
    </row>
    <row r="2395">
      <c r="E2395" s="13" t="n"/>
    </row>
    <row r="2396">
      <c r="E2396" s="13" t="n"/>
    </row>
    <row r="2397">
      <c r="E2397" s="13" t="n"/>
    </row>
    <row r="2398">
      <c r="E2398" s="13" t="n"/>
    </row>
    <row r="2399">
      <c r="E2399" s="13" t="n"/>
    </row>
    <row r="2400">
      <c r="E2400" s="13" t="n"/>
    </row>
    <row r="2401">
      <c r="E2401" s="13" t="n"/>
    </row>
    <row r="2402">
      <c r="E2402" s="13" t="n"/>
    </row>
    <row r="2403">
      <c r="E2403" s="13" t="n"/>
    </row>
    <row r="2404">
      <c r="E2404" s="13" t="n"/>
    </row>
    <row r="2405">
      <c r="E2405" s="13" t="n"/>
    </row>
    <row r="2406">
      <c r="E2406" s="13" t="n"/>
    </row>
    <row r="2407">
      <c r="E2407" s="13" t="n"/>
    </row>
    <row r="2408">
      <c r="E2408" s="13" t="n"/>
    </row>
    <row r="2409">
      <c r="E2409" s="13" t="n"/>
    </row>
    <row r="2410">
      <c r="E2410" s="13" t="n"/>
    </row>
    <row r="2411">
      <c r="E2411" s="13" t="n"/>
    </row>
    <row r="2412">
      <c r="E2412" s="13" t="n"/>
    </row>
    <row r="2413">
      <c r="E2413" s="13" t="n"/>
    </row>
    <row r="2414">
      <c r="E2414" s="13" t="n"/>
    </row>
    <row r="2415">
      <c r="E2415" s="13" t="n"/>
    </row>
    <row r="2416">
      <c r="E2416" s="13" t="n"/>
    </row>
    <row r="2417">
      <c r="E2417" s="13" t="n"/>
    </row>
    <row r="2418">
      <c r="E2418" s="13" t="n"/>
    </row>
    <row r="2419">
      <c r="E2419" s="13" t="n"/>
    </row>
    <row r="2420">
      <c r="E2420" s="13" t="n"/>
    </row>
    <row r="2421">
      <c r="E2421" s="13" t="n"/>
    </row>
    <row r="2422">
      <c r="E2422" s="13" t="n"/>
    </row>
    <row r="2423">
      <c r="E2423" s="13" t="n"/>
    </row>
    <row r="2424">
      <c r="E2424" s="13" t="n"/>
    </row>
    <row r="2425">
      <c r="E2425" s="13" t="n"/>
    </row>
    <row r="2426">
      <c r="E2426" s="13" t="n"/>
    </row>
    <row r="2427">
      <c r="E2427" s="13" t="n"/>
    </row>
    <row r="2428">
      <c r="E2428" s="13" t="n"/>
    </row>
    <row r="2429">
      <c r="E2429" s="13" t="n"/>
    </row>
    <row r="2430">
      <c r="E2430" s="13" t="n"/>
    </row>
    <row r="2431">
      <c r="E2431" s="13" t="n"/>
    </row>
    <row r="2432">
      <c r="E2432" s="13" t="n"/>
    </row>
    <row r="2433">
      <c r="E2433" s="13" t="n"/>
    </row>
    <row r="2434">
      <c r="E2434" s="13" t="n"/>
    </row>
    <row r="2435">
      <c r="E2435" s="13" t="n"/>
    </row>
    <row r="2436">
      <c r="E2436" s="13" t="n"/>
    </row>
    <row r="2437">
      <c r="E2437" s="13" t="n"/>
    </row>
    <row r="2438">
      <c r="E2438" s="13" t="n"/>
    </row>
    <row r="2439">
      <c r="E2439" s="13" t="n"/>
    </row>
    <row r="2440">
      <c r="E2440" s="13" t="n"/>
    </row>
    <row r="2441">
      <c r="E2441" s="13" t="n"/>
    </row>
    <row r="2442">
      <c r="E2442" s="13" t="n"/>
    </row>
    <row r="2443">
      <c r="E2443" s="13" t="n"/>
    </row>
    <row r="2444">
      <c r="E2444" s="13" t="n"/>
    </row>
    <row r="2445">
      <c r="E2445" s="13" t="n"/>
    </row>
    <row r="2446">
      <c r="E2446" s="13" t="n"/>
    </row>
    <row r="2447">
      <c r="E2447" s="13" t="n"/>
    </row>
    <row r="2448">
      <c r="E2448" s="13" t="n"/>
    </row>
    <row r="2449">
      <c r="E2449" s="13" t="n"/>
    </row>
    <row r="2450">
      <c r="E2450" s="13" t="n"/>
    </row>
    <row r="2451">
      <c r="E2451" s="13" t="n"/>
    </row>
    <row r="2452">
      <c r="E2452" s="13" t="n"/>
    </row>
    <row r="2453">
      <c r="E2453" s="13" t="n"/>
    </row>
    <row r="2454">
      <c r="E2454" s="13" t="n"/>
    </row>
    <row r="2455">
      <c r="E2455" s="13" t="n"/>
    </row>
    <row r="2456">
      <c r="E2456" s="13" t="n"/>
    </row>
    <row r="2457">
      <c r="E2457" s="13" t="n"/>
    </row>
    <row r="2458">
      <c r="E2458" s="13" t="n"/>
    </row>
    <row r="2459">
      <c r="E2459" s="13" t="n"/>
    </row>
    <row r="2460">
      <c r="E2460" s="13" t="n"/>
    </row>
    <row r="2461">
      <c r="E2461" s="13" t="n"/>
    </row>
    <row r="2462">
      <c r="E2462" s="13" t="n"/>
    </row>
    <row r="2463">
      <c r="E2463" s="13" t="n"/>
    </row>
    <row r="2464">
      <c r="E2464" s="13" t="n"/>
    </row>
    <row r="2465">
      <c r="E2465" s="13" t="n"/>
    </row>
    <row r="2466">
      <c r="E2466" s="13" t="n"/>
    </row>
    <row r="2467">
      <c r="E2467" s="13" t="n"/>
    </row>
    <row r="2468">
      <c r="E2468" s="13" t="n"/>
    </row>
    <row r="2469">
      <c r="E2469" s="13" t="n"/>
    </row>
    <row r="2470">
      <c r="E2470" s="13" t="n"/>
    </row>
    <row r="2471">
      <c r="E2471" s="13" t="n"/>
    </row>
    <row r="2472">
      <c r="E2472" s="13" t="n"/>
    </row>
    <row r="2473">
      <c r="E2473" s="13" t="n"/>
    </row>
    <row r="2474">
      <c r="E2474" s="13" t="n"/>
    </row>
    <row r="2475">
      <c r="E2475" s="13" t="n"/>
    </row>
    <row r="2476">
      <c r="E2476" s="13" t="n"/>
    </row>
    <row r="2477">
      <c r="E2477" s="13" t="n"/>
    </row>
    <row r="2478">
      <c r="E2478" s="13" t="n"/>
    </row>
    <row r="2479">
      <c r="E2479" s="13" t="n"/>
    </row>
    <row r="2480">
      <c r="E2480" s="13" t="n"/>
    </row>
    <row r="2481">
      <c r="E2481" s="13" t="n"/>
    </row>
    <row r="2482">
      <c r="E2482" s="13" t="n"/>
    </row>
    <row r="2483">
      <c r="E2483" s="13" t="n"/>
    </row>
    <row r="2484">
      <c r="E2484" s="13" t="n"/>
    </row>
    <row r="2485">
      <c r="E2485" s="13" t="n"/>
    </row>
    <row r="2486">
      <c r="E2486" s="13" t="n"/>
    </row>
    <row r="2487">
      <c r="E2487" s="13" t="n"/>
    </row>
    <row r="2488">
      <c r="E2488" s="13" t="n"/>
    </row>
    <row r="2489">
      <c r="E2489" s="13" t="n"/>
    </row>
    <row r="2490">
      <c r="E2490" s="13" t="n"/>
    </row>
    <row r="2491">
      <c r="E2491" s="13" t="n"/>
    </row>
    <row r="2492">
      <c r="E2492" s="13" t="n"/>
    </row>
    <row r="2493">
      <c r="E2493" s="13" t="n"/>
    </row>
    <row r="2494">
      <c r="E2494" s="13" t="n"/>
    </row>
    <row r="2495">
      <c r="E2495" s="13" t="n"/>
    </row>
    <row r="2496">
      <c r="E2496" s="13" t="n"/>
    </row>
    <row r="2497">
      <c r="E2497" s="13" t="n"/>
    </row>
    <row r="2498">
      <c r="E2498" s="13" t="n"/>
    </row>
    <row r="2499">
      <c r="E2499" s="13" t="n"/>
    </row>
    <row r="2500">
      <c r="E2500" s="13" t="n"/>
    </row>
    <row r="2501">
      <c r="E2501" s="13" t="n"/>
    </row>
    <row r="2502">
      <c r="E2502" s="13" t="n"/>
    </row>
    <row r="2503">
      <c r="E2503" s="13" t="n"/>
    </row>
    <row r="2504">
      <c r="E2504" s="13" t="n"/>
    </row>
    <row r="2505">
      <c r="E2505" s="13" t="n"/>
    </row>
    <row r="2506">
      <c r="E2506" s="13" t="n"/>
    </row>
    <row r="2507">
      <c r="E2507" s="13" t="n"/>
    </row>
    <row r="2508">
      <c r="E2508" s="13" t="n"/>
    </row>
    <row r="2509">
      <c r="E2509" s="13" t="n"/>
    </row>
    <row r="2510">
      <c r="E2510" s="13" t="n"/>
    </row>
    <row r="2511">
      <c r="E2511" s="13" t="n"/>
    </row>
    <row r="2512">
      <c r="E2512" s="13" t="n"/>
    </row>
    <row r="2513">
      <c r="E2513" s="13" t="n"/>
    </row>
    <row r="2514">
      <c r="E2514" s="13" t="n"/>
    </row>
    <row r="2515">
      <c r="E2515" s="13" t="n"/>
    </row>
    <row r="2516">
      <c r="E2516" s="13" t="n"/>
    </row>
    <row r="2517">
      <c r="E2517" s="13" t="n"/>
    </row>
    <row r="2518">
      <c r="E2518" s="13" t="n"/>
    </row>
    <row r="2519">
      <c r="E2519" s="13" t="n"/>
    </row>
    <row r="2520">
      <c r="E2520" s="13" t="n"/>
    </row>
    <row r="2521">
      <c r="E2521" s="13" t="n"/>
    </row>
    <row r="2522">
      <c r="E2522" s="13" t="n"/>
    </row>
    <row r="2523">
      <c r="E2523" s="13" t="n"/>
    </row>
    <row r="2524">
      <c r="E2524" s="13" t="n"/>
    </row>
    <row r="2525">
      <c r="E2525" s="13" t="n"/>
    </row>
    <row r="2526">
      <c r="E2526" s="13" t="n"/>
    </row>
    <row r="2527">
      <c r="E2527" s="13" t="n"/>
    </row>
    <row r="2528">
      <c r="E2528" s="13" t="n"/>
    </row>
    <row r="2529">
      <c r="E2529" s="13" t="n"/>
    </row>
    <row r="2530">
      <c r="E2530" s="13" t="n"/>
    </row>
    <row r="2531">
      <c r="E2531" s="13" t="n"/>
    </row>
    <row r="2532">
      <c r="E2532" s="13" t="n"/>
    </row>
    <row r="2533">
      <c r="E2533" s="13" t="n"/>
    </row>
    <row r="2534">
      <c r="E2534" s="13" t="n"/>
    </row>
    <row r="2535">
      <c r="E2535" s="13" t="n"/>
    </row>
    <row r="2536">
      <c r="E2536" s="13" t="n"/>
    </row>
    <row r="2537">
      <c r="E2537" s="13" t="n"/>
    </row>
    <row r="2538">
      <c r="E2538" s="13" t="n"/>
    </row>
    <row r="2539">
      <c r="E2539" s="13" t="n"/>
    </row>
    <row r="2540">
      <c r="E2540" s="13" t="n"/>
    </row>
    <row r="2541">
      <c r="E2541" s="13" t="n"/>
    </row>
    <row r="2542">
      <c r="E2542" s="13" t="n"/>
    </row>
    <row r="2543">
      <c r="E2543" s="13" t="n"/>
    </row>
    <row r="2544">
      <c r="E2544" s="13" t="n"/>
    </row>
    <row r="2545">
      <c r="E2545" s="13" t="n"/>
    </row>
    <row r="2546">
      <c r="E2546" s="13" t="n"/>
    </row>
    <row r="2547">
      <c r="E2547" s="13" t="n"/>
    </row>
    <row r="2548">
      <c r="E2548" s="13" t="n"/>
    </row>
    <row r="2549">
      <c r="E2549" s="13" t="n"/>
    </row>
    <row r="2550">
      <c r="E2550" s="13" t="n"/>
    </row>
    <row r="2551">
      <c r="E2551" s="13" t="n"/>
    </row>
    <row r="2552">
      <c r="E2552" s="13" t="n"/>
    </row>
    <row r="2553">
      <c r="E2553" s="13" t="n"/>
    </row>
    <row r="2554">
      <c r="E2554" s="13" t="n"/>
    </row>
    <row r="2555">
      <c r="E2555" s="13" t="n"/>
    </row>
    <row r="2556">
      <c r="E2556" s="13" t="n"/>
    </row>
    <row r="2557">
      <c r="E2557" s="13" t="n"/>
    </row>
    <row r="2558">
      <c r="E2558" s="13" t="n"/>
    </row>
    <row r="2559">
      <c r="E2559" s="13" t="n"/>
    </row>
    <row r="2560">
      <c r="E2560" s="13" t="n"/>
    </row>
    <row r="2561">
      <c r="E2561" s="13" t="n"/>
    </row>
    <row r="2562">
      <c r="E2562" s="13" t="n"/>
    </row>
    <row r="2563">
      <c r="E2563" s="13" t="n"/>
    </row>
    <row r="2564">
      <c r="E2564" s="13" t="n"/>
    </row>
    <row r="2565">
      <c r="E2565" s="13" t="n"/>
    </row>
    <row r="2566">
      <c r="E2566" s="13" t="n"/>
    </row>
    <row r="2567">
      <c r="E2567" s="13" t="n"/>
    </row>
    <row r="2568">
      <c r="E2568" s="13" t="n"/>
    </row>
    <row r="2569">
      <c r="E2569" s="13" t="n"/>
    </row>
    <row r="2570">
      <c r="E2570" s="13" t="n"/>
    </row>
    <row r="2571">
      <c r="E2571" s="13" t="n"/>
    </row>
    <row r="2572">
      <c r="E2572" s="13" t="n"/>
    </row>
    <row r="2573">
      <c r="E2573" s="13" t="n"/>
    </row>
    <row r="2574">
      <c r="E2574" s="13" t="n"/>
    </row>
    <row r="2575">
      <c r="E2575" s="13" t="n"/>
    </row>
    <row r="2576">
      <c r="E2576" s="13" t="n"/>
    </row>
    <row r="2577">
      <c r="E2577" s="13" t="n"/>
    </row>
    <row r="2578">
      <c r="E2578" s="13" t="n"/>
    </row>
    <row r="2579">
      <c r="E2579" s="13" t="n"/>
    </row>
    <row r="2580">
      <c r="E2580" s="13" t="n"/>
    </row>
    <row r="2581">
      <c r="E2581" s="13" t="n"/>
    </row>
    <row r="2582">
      <c r="E2582" s="13" t="n"/>
    </row>
    <row r="2583">
      <c r="E2583" s="13" t="n"/>
    </row>
    <row r="2584">
      <c r="E2584" s="13" t="n"/>
    </row>
    <row r="2585">
      <c r="E2585" s="13" t="n"/>
    </row>
    <row r="2586">
      <c r="E2586" s="13" t="n"/>
    </row>
    <row r="2587">
      <c r="E2587" s="13" t="n"/>
    </row>
    <row r="2588">
      <c r="E2588" s="13" t="n"/>
    </row>
    <row r="2589">
      <c r="E2589" s="13" t="n"/>
    </row>
    <row r="2590">
      <c r="E2590" s="13" t="n"/>
    </row>
    <row r="2591">
      <c r="E2591" s="13" t="n"/>
    </row>
    <row r="2592">
      <c r="E2592" s="13" t="n"/>
    </row>
    <row r="2593">
      <c r="E2593" s="13" t="n"/>
    </row>
    <row r="2594">
      <c r="E2594" s="13" t="n"/>
    </row>
    <row r="2595">
      <c r="E2595" s="13" t="n"/>
    </row>
    <row r="2596">
      <c r="E2596" s="13" t="n"/>
    </row>
    <row r="2597">
      <c r="E2597" s="13" t="n"/>
    </row>
    <row r="2598">
      <c r="E2598" s="13" t="n"/>
    </row>
    <row r="2599">
      <c r="E2599" s="13" t="n"/>
    </row>
    <row r="2600">
      <c r="E2600" s="13" t="n"/>
    </row>
    <row r="2601">
      <c r="E2601" s="13" t="n"/>
    </row>
    <row r="2602">
      <c r="E2602" s="13" t="n"/>
    </row>
    <row r="2603">
      <c r="E2603" s="13" t="n"/>
    </row>
    <row r="2604">
      <c r="E2604" s="13" t="n"/>
    </row>
    <row r="2605">
      <c r="E2605" s="13" t="n"/>
    </row>
    <row r="2606">
      <c r="E2606" s="13" t="n"/>
    </row>
    <row r="2607">
      <c r="E2607" s="13" t="n"/>
    </row>
    <row r="2608">
      <c r="E2608" s="13" t="n"/>
    </row>
    <row r="2609">
      <c r="E2609" s="13" t="n"/>
    </row>
    <row r="2610">
      <c r="E2610" s="13" t="n"/>
    </row>
    <row r="2611">
      <c r="E2611" s="13" t="n"/>
    </row>
    <row r="2612">
      <c r="E2612" s="13" t="n"/>
    </row>
    <row r="2613">
      <c r="E2613" s="13" t="n"/>
    </row>
    <row r="2614">
      <c r="E2614" s="13" t="n"/>
    </row>
    <row r="2615">
      <c r="E2615" s="13" t="n"/>
    </row>
    <row r="2616">
      <c r="E2616" s="13" t="n"/>
    </row>
    <row r="2617">
      <c r="E2617" s="13" t="n"/>
    </row>
    <row r="2618">
      <c r="E2618" s="13" t="n"/>
    </row>
    <row r="2619">
      <c r="E2619" s="13" t="n"/>
    </row>
    <row r="2620">
      <c r="E2620" s="13" t="n"/>
    </row>
    <row r="2621">
      <c r="E2621" s="13" t="n"/>
    </row>
    <row r="2622">
      <c r="E2622" s="13" t="n"/>
    </row>
    <row r="2623">
      <c r="E2623" s="13" t="n"/>
    </row>
    <row r="2624">
      <c r="E2624" s="13" t="n"/>
    </row>
    <row r="2625">
      <c r="E2625" s="13" t="n"/>
    </row>
    <row r="2626">
      <c r="E2626" s="13" t="n"/>
    </row>
    <row r="2627">
      <c r="E2627" s="13" t="n"/>
    </row>
    <row r="2628">
      <c r="E2628" s="13" t="n"/>
    </row>
    <row r="2629">
      <c r="E2629" s="13" t="n"/>
    </row>
    <row r="2630">
      <c r="E2630" s="13" t="n"/>
    </row>
    <row r="2631">
      <c r="E2631" s="13" t="n"/>
    </row>
    <row r="2632">
      <c r="E2632" s="13" t="n"/>
    </row>
    <row r="2633">
      <c r="E2633" s="13" t="n"/>
    </row>
    <row r="2634">
      <c r="E2634" s="13" t="n"/>
    </row>
    <row r="2635">
      <c r="E2635" s="13" t="n"/>
    </row>
    <row r="2636">
      <c r="E2636" s="13" t="n"/>
    </row>
    <row r="2637">
      <c r="E2637" s="13" t="n"/>
    </row>
    <row r="2638">
      <c r="E2638" s="13" t="n"/>
    </row>
    <row r="2639">
      <c r="E2639" s="13" t="n"/>
    </row>
    <row r="2640">
      <c r="E2640" s="13" t="n"/>
    </row>
    <row r="2641">
      <c r="E2641" s="13" t="n"/>
    </row>
    <row r="2642">
      <c r="E2642" s="13" t="n"/>
    </row>
    <row r="2643">
      <c r="E2643" s="13" t="n"/>
    </row>
    <row r="2644">
      <c r="E2644" s="13" t="n"/>
    </row>
    <row r="2645">
      <c r="E2645" s="13" t="n"/>
    </row>
    <row r="2646">
      <c r="E2646" s="13" t="n"/>
    </row>
    <row r="2647">
      <c r="E2647" s="13" t="n"/>
    </row>
    <row r="2648">
      <c r="E2648" s="13" t="n"/>
    </row>
    <row r="2649">
      <c r="E2649" s="13" t="n"/>
    </row>
    <row r="2650">
      <c r="E2650" s="13" t="n"/>
    </row>
    <row r="2651">
      <c r="E2651" s="13" t="n"/>
    </row>
    <row r="2652">
      <c r="E2652" s="13" t="n"/>
    </row>
    <row r="2653">
      <c r="E2653" s="13" t="n"/>
    </row>
    <row r="2654">
      <c r="E2654" s="13" t="n"/>
    </row>
    <row r="2655">
      <c r="E2655" s="13" t="n"/>
    </row>
    <row r="2656">
      <c r="E2656" s="13" t="n"/>
    </row>
    <row r="2657">
      <c r="E2657" s="13" t="n"/>
    </row>
    <row r="2658">
      <c r="E2658" s="13" t="n"/>
    </row>
    <row r="2659">
      <c r="E2659" s="13" t="n"/>
    </row>
    <row r="2660">
      <c r="E2660" s="13" t="n"/>
    </row>
    <row r="2661">
      <c r="E2661" s="13" t="n"/>
    </row>
    <row r="2662">
      <c r="E2662" s="13" t="n"/>
    </row>
    <row r="2663">
      <c r="E2663" s="13" t="n"/>
    </row>
    <row r="2664">
      <c r="E2664" s="13" t="n"/>
    </row>
    <row r="2665">
      <c r="E2665" s="13" t="n"/>
    </row>
    <row r="2666">
      <c r="E2666" s="13" t="n"/>
    </row>
    <row r="2667">
      <c r="E2667" s="13" t="n"/>
    </row>
    <row r="2668">
      <c r="E2668" s="13" t="n"/>
    </row>
    <row r="2669">
      <c r="E2669" s="13" t="n"/>
    </row>
    <row r="2670">
      <c r="E2670" s="13" t="n"/>
    </row>
    <row r="2671">
      <c r="E2671" s="13" t="n"/>
    </row>
    <row r="2672">
      <c r="E2672" s="13" t="n"/>
    </row>
    <row r="2673">
      <c r="E2673" s="13" t="n"/>
    </row>
    <row r="2674">
      <c r="E2674" s="13" t="n"/>
    </row>
    <row r="2675">
      <c r="E2675" s="13" t="n"/>
    </row>
    <row r="2676">
      <c r="E2676" s="13" t="n"/>
    </row>
    <row r="2677">
      <c r="E2677" s="13" t="n"/>
    </row>
    <row r="2678">
      <c r="E2678" s="13" t="n"/>
    </row>
    <row r="2679">
      <c r="E2679" s="13" t="n"/>
    </row>
    <row r="2680">
      <c r="E2680" s="13" t="n"/>
    </row>
    <row r="2681">
      <c r="E2681" s="13" t="n"/>
    </row>
    <row r="2682">
      <c r="E2682" s="13" t="n"/>
    </row>
    <row r="2683">
      <c r="E2683" s="13" t="n"/>
    </row>
    <row r="2684">
      <c r="E2684" s="13" t="n"/>
    </row>
    <row r="2685">
      <c r="E2685" s="13" t="n"/>
    </row>
    <row r="2686">
      <c r="E2686" s="13" t="n"/>
    </row>
    <row r="2687">
      <c r="E2687" s="13" t="n"/>
    </row>
    <row r="2688">
      <c r="E2688" s="13" t="n"/>
    </row>
    <row r="2689">
      <c r="E2689" s="13" t="n"/>
    </row>
    <row r="2690">
      <c r="E2690" s="13" t="n"/>
    </row>
    <row r="2691">
      <c r="E2691" s="13" t="n"/>
    </row>
    <row r="2692">
      <c r="E2692" s="13" t="n"/>
    </row>
    <row r="2693">
      <c r="E2693" s="13" t="n"/>
    </row>
    <row r="2694">
      <c r="E2694" s="13" t="n"/>
    </row>
    <row r="2695">
      <c r="E2695" s="13" t="n"/>
    </row>
    <row r="2696">
      <c r="E2696" s="13" t="n"/>
    </row>
    <row r="2697">
      <c r="E2697" s="13" t="n"/>
    </row>
    <row r="2698">
      <c r="E2698" s="13" t="n"/>
    </row>
    <row r="2699">
      <c r="E2699" s="13" t="n"/>
    </row>
    <row r="2700">
      <c r="E2700" s="13" t="n"/>
    </row>
    <row r="2701">
      <c r="E2701" s="13" t="n"/>
    </row>
    <row r="2702">
      <c r="E2702" s="13" t="n"/>
    </row>
    <row r="2703">
      <c r="E2703" s="13" t="n"/>
    </row>
    <row r="2704">
      <c r="E2704" s="13" t="n"/>
    </row>
    <row r="2705">
      <c r="E2705" s="13" t="n"/>
    </row>
    <row r="2706">
      <c r="E2706" s="13" t="n"/>
    </row>
    <row r="2707">
      <c r="E2707" s="13" t="n"/>
    </row>
    <row r="2708">
      <c r="E2708" s="13" t="n"/>
    </row>
    <row r="2709">
      <c r="E2709" s="13" t="n"/>
    </row>
    <row r="2710">
      <c r="E2710" s="13" t="n"/>
    </row>
    <row r="2711">
      <c r="E2711" s="13" t="n"/>
    </row>
    <row r="2712">
      <c r="E2712" s="13" t="n"/>
    </row>
    <row r="2713">
      <c r="E2713" s="13" t="n"/>
    </row>
    <row r="2714">
      <c r="E2714" s="13" t="n"/>
    </row>
    <row r="2715">
      <c r="E2715" s="13" t="n"/>
    </row>
    <row r="2716">
      <c r="E2716" s="13" t="n"/>
    </row>
    <row r="2717">
      <c r="E2717" s="13" t="n"/>
    </row>
    <row r="2718">
      <c r="E2718" s="13" t="n"/>
    </row>
    <row r="2719">
      <c r="E2719" s="13" t="n"/>
    </row>
    <row r="2720">
      <c r="E2720" s="13" t="n"/>
    </row>
    <row r="2721">
      <c r="E2721" s="13" t="n"/>
    </row>
    <row r="2722">
      <c r="E2722" s="13" t="n"/>
    </row>
    <row r="2723">
      <c r="E2723" s="13" t="n"/>
    </row>
    <row r="2724">
      <c r="E2724" s="13" t="n"/>
    </row>
    <row r="2725">
      <c r="E2725" s="13" t="n"/>
    </row>
    <row r="2726">
      <c r="E2726" s="13" t="n"/>
    </row>
    <row r="2727">
      <c r="E2727" s="13" t="n"/>
    </row>
    <row r="2728">
      <c r="E2728" s="13" t="n"/>
    </row>
    <row r="2729">
      <c r="E2729" s="13" t="n"/>
    </row>
    <row r="2730">
      <c r="E2730" s="13" t="n"/>
    </row>
    <row r="2731">
      <c r="E2731" s="13" t="n"/>
    </row>
    <row r="2732">
      <c r="E2732" s="13" t="n"/>
    </row>
    <row r="2733">
      <c r="E2733" s="13" t="n"/>
    </row>
    <row r="2734">
      <c r="E2734" s="13" t="n"/>
    </row>
    <row r="2735">
      <c r="E2735" s="13" t="n"/>
    </row>
    <row r="2736">
      <c r="E2736" s="13" t="n"/>
    </row>
    <row r="2737">
      <c r="E2737" s="13" t="n"/>
    </row>
    <row r="2738">
      <c r="E2738" s="13" t="n"/>
    </row>
    <row r="2739">
      <c r="E2739" s="13" t="n"/>
    </row>
    <row r="2740">
      <c r="E2740" s="13" t="n"/>
    </row>
    <row r="2741">
      <c r="E2741" s="13" t="n"/>
    </row>
    <row r="2742">
      <c r="E2742" s="13" t="n"/>
    </row>
    <row r="2743">
      <c r="E2743" s="13" t="n"/>
    </row>
    <row r="2744">
      <c r="E2744" s="13" t="n"/>
    </row>
    <row r="2745">
      <c r="E2745" s="13" t="n"/>
    </row>
    <row r="2746">
      <c r="E2746" s="13" t="n"/>
    </row>
    <row r="2747">
      <c r="E2747" s="13" t="n"/>
    </row>
    <row r="2748">
      <c r="E2748" s="13" t="n"/>
    </row>
    <row r="2749">
      <c r="E2749" s="13" t="n"/>
    </row>
    <row r="2750">
      <c r="E2750" s="13" t="n"/>
    </row>
    <row r="2751">
      <c r="E2751" s="13" t="n"/>
    </row>
    <row r="2752">
      <c r="E2752" s="13" t="n"/>
    </row>
    <row r="2753">
      <c r="E2753" s="13" t="n"/>
    </row>
    <row r="2754">
      <c r="E2754" s="13" t="n"/>
    </row>
    <row r="2755">
      <c r="E2755" s="13" t="n"/>
    </row>
    <row r="2756">
      <c r="E2756" s="13" t="n"/>
    </row>
    <row r="2757">
      <c r="E2757" s="13" t="n"/>
    </row>
    <row r="2758">
      <c r="E2758" s="13" t="n"/>
    </row>
    <row r="2759">
      <c r="E2759" s="13" t="n"/>
    </row>
    <row r="2760">
      <c r="E2760" s="13" t="n"/>
    </row>
    <row r="2761">
      <c r="E2761" s="13" t="n"/>
    </row>
    <row r="2762">
      <c r="E2762" s="13" t="n"/>
    </row>
    <row r="2763">
      <c r="E2763" s="13" t="n"/>
    </row>
    <row r="2764">
      <c r="E2764" s="13" t="n"/>
    </row>
    <row r="2765">
      <c r="E2765" s="13" t="n"/>
    </row>
    <row r="2766">
      <c r="E2766" s="13" t="n"/>
    </row>
    <row r="2767">
      <c r="E2767" s="13" t="n"/>
    </row>
    <row r="2768">
      <c r="E2768" s="13" t="n"/>
    </row>
    <row r="2769">
      <c r="E2769" s="13" t="n"/>
    </row>
    <row r="2770">
      <c r="E2770" s="13" t="n"/>
    </row>
    <row r="2771">
      <c r="E2771" s="13" t="n"/>
    </row>
    <row r="2772">
      <c r="E2772" s="13" t="n"/>
    </row>
    <row r="2773">
      <c r="E2773" s="13" t="n"/>
    </row>
    <row r="2774">
      <c r="E2774" s="13" t="n"/>
    </row>
    <row r="2775">
      <c r="E2775" s="13" t="n"/>
    </row>
    <row r="2776">
      <c r="E2776" s="13" t="n"/>
    </row>
    <row r="2777">
      <c r="E2777" s="13" t="n"/>
    </row>
    <row r="2778">
      <c r="E2778" s="13" t="n"/>
    </row>
    <row r="2779">
      <c r="E2779" s="13" t="n"/>
    </row>
    <row r="2780">
      <c r="E2780" s="13" t="n"/>
    </row>
    <row r="2781">
      <c r="E2781" s="13" t="n"/>
    </row>
    <row r="2782">
      <c r="E2782" s="13" t="n"/>
    </row>
    <row r="2783">
      <c r="E2783" s="13" t="n"/>
    </row>
    <row r="2784">
      <c r="E2784" s="13" t="n"/>
    </row>
    <row r="2785">
      <c r="E2785" s="13" t="n"/>
    </row>
    <row r="2786">
      <c r="E2786" s="13" t="n"/>
    </row>
    <row r="2787">
      <c r="E2787" s="13" t="n"/>
    </row>
    <row r="2788">
      <c r="E2788" s="13" t="n"/>
    </row>
    <row r="2789">
      <c r="E2789" s="13" t="n"/>
    </row>
    <row r="2790">
      <c r="E2790" s="13" t="n"/>
    </row>
    <row r="2791">
      <c r="E2791" s="13" t="n"/>
    </row>
    <row r="2792">
      <c r="E2792" s="13" t="n"/>
    </row>
    <row r="2793">
      <c r="E2793" s="13" t="n"/>
    </row>
    <row r="2794">
      <c r="E2794" s="13" t="n"/>
    </row>
    <row r="2795">
      <c r="E2795" s="13" t="n"/>
    </row>
    <row r="2796">
      <c r="E2796" s="13" t="n"/>
    </row>
    <row r="2797">
      <c r="E2797" s="13" t="n"/>
    </row>
    <row r="2798">
      <c r="E2798" s="13" t="n"/>
    </row>
    <row r="2799">
      <c r="E2799" s="13" t="n"/>
    </row>
    <row r="2800">
      <c r="E2800" s="13" t="n"/>
    </row>
    <row r="2801">
      <c r="E2801" s="13" t="n"/>
    </row>
    <row r="2802">
      <c r="E2802" s="13" t="n"/>
    </row>
    <row r="2803">
      <c r="E2803" s="13" t="n"/>
    </row>
    <row r="2804">
      <c r="E2804" s="13" t="n"/>
    </row>
    <row r="2805">
      <c r="E2805" s="13" t="n"/>
    </row>
    <row r="2806">
      <c r="E2806" s="13" t="n"/>
    </row>
    <row r="2807">
      <c r="E2807" s="13" t="n"/>
    </row>
    <row r="2808">
      <c r="E2808" s="13" t="n"/>
    </row>
    <row r="2809">
      <c r="E2809" s="13" t="n"/>
    </row>
    <row r="2810">
      <c r="E2810" s="13" t="n"/>
    </row>
    <row r="2811">
      <c r="E2811" s="13" t="n"/>
    </row>
    <row r="2812">
      <c r="E2812" s="13" t="n"/>
    </row>
    <row r="2813">
      <c r="E2813" s="13" t="n"/>
    </row>
    <row r="2814">
      <c r="E2814" s="13" t="n"/>
    </row>
    <row r="2815">
      <c r="E2815" s="13" t="n"/>
    </row>
    <row r="2816">
      <c r="E2816" s="13" t="n"/>
    </row>
    <row r="2817">
      <c r="E2817" s="13" t="n"/>
    </row>
    <row r="2818">
      <c r="E2818" s="13" t="n"/>
    </row>
    <row r="2819">
      <c r="E2819" s="13" t="n"/>
    </row>
    <row r="2820">
      <c r="E2820" s="13" t="n"/>
    </row>
    <row r="2821">
      <c r="E2821" s="13" t="n"/>
    </row>
    <row r="2822">
      <c r="E2822" s="13" t="n"/>
    </row>
    <row r="2823">
      <c r="E2823" s="13" t="n"/>
    </row>
    <row r="2824">
      <c r="E2824" s="13" t="n"/>
    </row>
    <row r="2825">
      <c r="E2825" s="13" t="n"/>
    </row>
    <row r="2826">
      <c r="E2826" s="13" t="n"/>
    </row>
    <row r="2827">
      <c r="E2827" s="13" t="n"/>
    </row>
    <row r="2828">
      <c r="E2828" s="13" t="n"/>
    </row>
    <row r="2829">
      <c r="E2829" s="13" t="n"/>
    </row>
    <row r="2830">
      <c r="E2830" s="13" t="n"/>
    </row>
    <row r="2831">
      <c r="E2831" s="13" t="n"/>
    </row>
    <row r="2832">
      <c r="E2832" s="13" t="n"/>
    </row>
    <row r="2833">
      <c r="E2833" s="13" t="n"/>
    </row>
    <row r="2834">
      <c r="E2834" s="13" t="n"/>
    </row>
    <row r="2835">
      <c r="E2835" s="13" t="n"/>
    </row>
    <row r="2836">
      <c r="E2836" s="13" t="n"/>
    </row>
    <row r="2837">
      <c r="E2837" s="13" t="n"/>
    </row>
    <row r="2838">
      <c r="E2838" s="13" t="n"/>
    </row>
    <row r="2839">
      <c r="E2839" s="13" t="n"/>
    </row>
    <row r="2840">
      <c r="E2840" s="13" t="n"/>
    </row>
    <row r="2841">
      <c r="E2841" s="13" t="n"/>
    </row>
    <row r="2842">
      <c r="E2842" s="13" t="n"/>
    </row>
    <row r="2843">
      <c r="E2843" s="13" t="n"/>
    </row>
    <row r="2844">
      <c r="E2844" s="13" t="n"/>
    </row>
    <row r="2845">
      <c r="E2845" s="13" t="n"/>
    </row>
    <row r="2846">
      <c r="E2846" s="13" t="n"/>
    </row>
    <row r="2847">
      <c r="E2847" s="13" t="n"/>
    </row>
    <row r="2848">
      <c r="E2848" s="13" t="n"/>
    </row>
    <row r="2849">
      <c r="E2849" s="13" t="n"/>
    </row>
    <row r="2850">
      <c r="E2850" s="13" t="n"/>
    </row>
    <row r="2851">
      <c r="E2851" s="13" t="n"/>
    </row>
    <row r="2852">
      <c r="E2852" s="13" t="n"/>
    </row>
    <row r="2853">
      <c r="E2853" s="13" t="n"/>
    </row>
    <row r="2854">
      <c r="E2854" s="13" t="n"/>
    </row>
    <row r="2855">
      <c r="E2855" s="13" t="n"/>
    </row>
    <row r="2856">
      <c r="E2856" s="13" t="n"/>
    </row>
    <row r="2857">
      <c r="E2857" s="13" t="n"/>
    </row>
    <row r="2858">
      <c r="E2858" s="13" t="n"/>
    </row>
    <row r="2859">
      <c r="E2859" s="13" t="n"/>
    </row>
    <row r="2860">
      <c r="E2860" s="13" t="n"/>
    </row>
    <row r="2861">
      <c r="E2861" s="13" t="n"/>
    </row>
    <row r="2862">
      <c r="E2862" s="13" t="n"/>
    </row>
    <row r="2863">
      <c r="E2863" s="13" t="n"/>
    </row>
    <row r="2864">
      <c r="E2864" s="13" t="n"/>
    </row>
    <row r="2865">
      <c r="E2865" s="13" t="n"/>
    </row>
    <row r="2866">
      <c r="E2866" s="13" t="n"/>
    </row>
    <row r="2867">
      <c r="E2867" s="13" t="n"/>
    </row>
    <row r="2868">
      <c r="E2868" s="13" t="n"/>
    </row>
    <row r="2869">
      <c r="E2869" s="13" t="n"/>
    </row>
    <row r="2870">
      <c r="E2870" s="13" t="n"/>
    </row>
    <row r="2871">
      <c r="E2871" s="13" t="n"/>
    </row>
    <row r="2872">
      <c r="E2872" s="13" t="n"/>
    </row>
    <row r="2873">
      <c r="E2873" s="13" t="n"/>
    </row>
    <row r="2874">
      <c r="E2874" s="13" t="n"/>
    </row>
    <row r="2875">
      <c r="E2875" s="13" t="n"/>
    </row>
    <row r="2876">
      <c r="E2876" s="13" t="n"/>
    </row>
    <row r="2877">
      <c r="E2877" s="13" t="n"/>
    </row>
    <row r="2878">
      <c r="E2878" s="13" t="n"/>
    </row>
    <row r="2879">
      <c r="E2879" s="13" t="n"/>
    </row>
    <row r="2880">
      <c r="E2880" s="13" t="n"/>
    </row>
    <row r="2881">
      <c r="E2881" s="13" t="n"/>
    </row>
    <row r="2882">
      <c r="E2882" s="13" t="n"/>
    </row>
    <row r="2883">
      <c r="E2883" s="13" t="n"/>
    </row>
    <row r="2884">
      <c r="E2884" s="13" t="n"/>
    </row>
    <row r="2885">
      <c r="E2885" s="13" t="n"/>
    </row>
    <row r="2886">
      <c r="E2886" s="13" t="n"/>
    </row>
    <row r="2887">
      <c r="E2887" s="13" t="n"/>
    </row>
    <row r="2888">
      <c r="E2888" s="13" t="n"/>
    </row>
    <row r="2889">
      <c r="E2889" s="13" t="n"/>
    </row>
    <row r="2890">
      <c r="E2890" s="13" t="n"/>
    </row>
    <row r="2891">
      <c r="E2891" s="13" t="n"/>
    </row>
    <row r="2892">
      <c r="E2892" s="13" t="n"/>
    </row>
    <row r="2893">
      <c r="E2893" s="13" t="n"/>
    </row>
    <row r="2894">
      <c r="E2894" s="13" t="n"/>
    </row>
    <row r="2895">
      <c r="E2895" s="13" t="n"/>
    </row>
    <row r="2896">
      <c r="E2896" s="13" t="n"/>
    </row>
    <row r="2897">
      <c r="E2897" s="13" t="n"/>
    </row>
    <row r="2898">
      <c r="E2898" s="13" t="n"/>
    </row>
    <row r="2899">
      <c r="E2899" s="13" t="n"/>
    </row>
    <row r="2900">
      <c r="E2900" s="13" t="n"/>
    </row>
    <row r="2901">
      <c r="E2901" s="13" t="n"/>
    </row>
    <row r="2902">
      <c r="E2902" s="13" t="n"/>
    </row>
    <row r="2903">
      <c r="E2903" s="13" t="n"/>
    </row>
    <row r="2904">
      <c r="E2904" s="13" t="n"/>
    </row>
    <row r="2905">
      <c r="E2905" s="13" t="n"/>
    </row>
    <row r="2906">
      <c r="E2906" s="13" t="n"/>
    </row>
    <row r="2907">
      <c r="E2907" s="13" t="n"/>
    </row>
    <row r="2908">
      <c r="E2908" s="13" t="n"/>
    </row>
    <row r="2909">
      <c r="E2909" s="13" t="n"/>
    </row>
    <row r="2910">
      <c r="E2910" s="13" t="n"/>
    </row>
    <row r="2911">
      <c r="E2911" s="13" t="n"/>
    </row>
    <row r="2912">
      <c r="E2912" s="13" t="n"/>
    </row>
    <row r="2913">
      <c r="E2913" s="13" t="n"/>
    </row>
    <row r="2914">
      <c r="E2914" s="13" t="n"/>
    </row>
    <row r="2915">
      <c r="E2915" s="13" t="n"/>
    </row>
    <row r="2916">
      <c r="E2916" s="13" t="n"/>
    </row>
    <row r="2917">
      <c r="E2917" s="13" t="n"/>
    </row>
    <row r="2918">
      <c r="E2918" s="13" t="n"/>
    </row>
    <row r="2919">
      <c r="E2919" s="13" t="n"/>
    </row>
    <row r="2920">
      <c r="E2920" s="13" t="n"/>
    </row>
    <row r="2921">
      <c r="E2921" s="13" t="n"/>
    </row>
    <row r="2922">
      <c r="E2922" s="13" t="n"/>
    </row>
    <row r="2923">
      <c r="E2923" s="13" t="n"/>
    </row>
    <row r="2924">
      <c r="E2924" s="13" t="n"/>
    </row>
    <row r="2925">
      <c r="E2925" s="13" t="n"/>
    </row>
    <row r="2926">
      <c r="E2926" s="13" t="n"/>
    </row>
    <row r="2927">
      <c r="E2927" s="13" t="n"/>
    </row>
    <row r="2928">
      <c r="E2928" s="13" t="n"/>
    </row>
    <row r="2929">
      <c r="E2929" s="13" t="n"/>
    </row>
    <row r="2930">
      <c r="E2930" s="13" t="n"/>
    </row>
    <row r="2931">
      <c r="E2931" s="13" t="n"/>
    </row>
    <row r="2932">
      <c r="E2932" s="13" t="n"/>
    </row>
    <row r="2933">
      <c r="E2933" s="13" t="n"/>
    </row>
    <row r="2934">
      <c r="E2934" s="13" t="n"/>
    </row>
    <row r="2935">
      <c r="E2935" s="13" t="n"/>
    </row>
    <row r="2936">
      <c r="E2936" s="13" t="n"/>
    </row>
    <row r="2937">
      <c r="E2937" s="13" t="n"/>
    </row>
    <row r="2938">
      <c r="E2938" s="13" t="n"/>
    </row>
    <row r="2939">
      <c r="E2939" s="13" t="n"/>
    </row>
    <row r="2940">
      <c r="E2940" s="13" t="n"/>
    </row>
    <row r="2941">
      <c r="E2941" s="13" t="n"/>
    </row>
    <row r="2942">
      <c r="E2942" s="13" t="n"/>
    </row>
    <row r="2943">
      <c r="E2943" s="13" t="n"/>
    </row>
    <row r="2944">
      <c r="E2944" s="13" t="n"/>
    </row>
    <row r="2945">
      <c r="E2945" s="13" t="n"/>
    </row>
    <row r="2946">
      <c r="E2946" s="13" t="n"/>
    </row>
    <row r="2947">
      <c r="E2947" s="13" t="n"/>
    </row>
    <row r="2948">
      <c r="E2948" s="13" t="n"/>
    </row>
    <row r="2949">
      <c r="E2949" s="13" t="n"/>
    </row>
    <row r="2950">
      <c r="E2950" s="13" t="n"/>
    </row>
    <row r="2951">
      <c r="E2951" s="13" t="n"/>
    </row>
    <row r="2952">
      <c r="E2952" s="13" t="n"/>
    </row>
    <row r="2953">
      <c r="E2953" s="13" t="n"/>
    </row>
    <row r="2954">
      <c r="E2954" s="13" t="n"/>
    </row>
    <row r="2955">
      <c r="E2955" s="13" t="n"/>
    </row>
    <row r="2956">
      <c r="E2956" s="13" t="n"/>
    </row>
    <row r="2957">
      <c r="E2957" s="13" t="n"/>
    </row>
    <row r="2958">
      <c r="E2958" s="13" t="n"/>
    </row>
    <row r="2959">
      <c r="E2959" s="13" t="n"/>
    </row>
    <row r="2960">
      <c r="E2960" s="13" t="n"/>
    </row>
    <row r="2961">
      <c r="E2961" s="13" t="n"/>
    </row>
    <row r="2962">
      <c r="E2962" s="13" t="n"/>
    </row>
    <row r="2963">
      <c r="E2963" s="13" t="n"/>
    </row>
    <row r="2964">
      <c r="E2964" s="13" t="n"/>
    </row>
    <row r="2965">
      <c r="E2965" s="13" t="n"/>
    </row>
    <row r="2966">
      <c r="E2966" s="13" t="n"/>
    </row>
    <row r="2967">
      <c r="E2967" s="13" t="n"/>
    </row>
    <row r="2968">
      <c r="E2968" s="13" t="n"/>
    </row>
    <row r="2969">
      <c r="E2969" s="13" t="n"/>
    </row>
    <row r="2970">
      <c r="E2970" s="13" t="n"/>
    </row>
    <row r="2971">
      <c r="E2971" s="13" t="n"/>
    </row>
    <row r="2972">
      <c r="E2972" s="13" t="n"/>
    </row>
    <row r="2973">
      <c r="E2973" s="13" t="n"/>
    </row>
    <row r="2974">
      <c r="E2974" s="13" t="n"/>
    </row>
    <row r="2975">
      <c r="E2975" s="13" t="n"/>
    </row>
    <row r="2976">
      <c r="E2976" s="13" t="n"/>
    </row>
    <row r="2977">
      <c r="E2977" s="13" t="n"/>
    </row>
    <row r="2978">
      <c r="E2978" s="13" t="n"/>
    </row>
    <row r="2979">
      <c r="E2979" s="13" t="n"/>
    </row>
    <row r="2980">
      <c r="E2980" s="13" t="n"/>
    </row>
    <row r="2981">
      <c r="E2981" s="13" t="n"/>
    </row>
    <row r="2982">
      <c r="E2982" s="13" t="n"/>
    </row>
    <row r="2983">
      <c r="E2983" s="13" t="n"/>
    </row>
    <row r="2984">
      <c r="E2984" s="13" t="n"/>
    </row>
    <row r="2985">
      <c r="E2985" s="13" t="n"/>
    </row>
    <row r="2986">
      <c r="E2986" s="13" t="n"/>
    </row>
    <row r="2987">
      <c r="E2987" s="13" t="n"/>
    </row>
    <row r="2988">
      <c r="E2988" s="13" t="n"/>
    </row>
    <row r="2989">
      <c r="E2989" s="13" t="n"/>
    </row>
    <row r="2990">
      <c r="E2990" s="13" t="n"/>
    </row>
    <row r="2991">
      <c r="E2991" s="13" t="n"/>
    </row>
    <row r="2992">
      <c r="E2992" s="13" t="n"/>
    </row>
    <row r="2993">
      <c r="E2993" s="13" t="n"/>
    </row>
    <row r="2994">
      <c r="E2994" s="13" t="n"/>
    </row>
    <row r="2995">
      <c r="E2995" s="13" t="n"/>
    </row>
    <row r="2996">
      <c r="E2996" s="13" t="n"/>
    </row>
    <row r="2997">
      <c r="E2997" s="13" t="n"/>
    </row>
    <row r="2998">
      <c r="E2998" s="13" t="n"/>
    </row>
    <row r="2999">
      <c r="E2999" s="13" t="n"/>
    </row>
    <row r="3000">
      <c r="E3000" s="13" t="n"/>
    </row>
    <row r="3001">
      <c r="E3001" s="13" t="n"/>
    </row>
    <row r="3002">
      <c r="E3002" s="13" t="n"/>
    </row>
    <row r="3003">
      <c r="E3003" s="13" t="n"/>
    </row>
    <row r="3004">
      <c r="E3004" s="13" t="n"/>
    </row>
    <row r="3005">
      <c r="E3005" s="13" t="n"/>
    </row>
    <row r="3006">
      <c r="E3006" s="13" t="n"/>
    </row>
    <row r="3007">
      <c r="E3007" s="13" t="n"/>
    </row>
    <row r="3008">
      <c r="E3008" s="13" t="n"/>
    </row>
    <row r="3009">
      <c r="E3009" s="13" t="n"/>
    </row>
    <row r="3010">
      <c r="E3010" s="13" t="n"/>
    </row>
    <row r="3011">
      <c r="E3011" s="13" t="n"/>
    </row>
    <row r="3012">
      <c r="E3012" s="13" t="n"/>
    </row>
    <row r="3013">
      <c r="E3013" s="13" t="n"/>
    </row>
    <row r="3014">
      <c r="E3014" s="13" t="n"/>
    </row>
    <row r="3015">
      <c r="E3015" s="13" t="n"/>
    </row>
    <row r="3016">
      <c r="E3016" s="13" t="n"/>
    </row>
    <row r="3017">
      <c r="E3017" s="13" t="n"/>
    </row>
    <row r="3018">
      <c r="E3018" s="13" t="n"/>
    </row>
    <row r="3019">
      <c r="E3019" s="13" t="n"/>
    </row>
    <row r="3020">
      <c r="E3020" s="13" t="n"/>
    </row>
    <row r="3021">
      <c r="E3021" s="13" t="n"/>
    </row>
    <row r="3022">
      <c r="E3022" s="13" t="n"/>
    </row>
    <row r="3023">
      <c r="E3023" s="13" t="n"/>
    </row>
    <row r="3024">
      <c r="E3024" s="13" t="n"/>
    </row>
    <row r="3025">
      <c r="E3025" s="13" t="n"/>
    </row>
    <row r="3026">
      <c r="E3026" s="13" t="n"/>
    </row>
    <row r="3027">
      <c r="E3027" s="13" t="n"/>
    </row>
    <row r="3028">
      <c r="E3028" s="13" t="n"/>
    </row>
    <row r="3029">
      <c r="E3029" s="13" t="n"/>
    </row>
    <row r="3030">
      <c r="E3030" s="13" t="n"/>
    </row>
    <row r="3031">
      <c r="E3031" s="13" t="n"/>
    </row>
    <row r="3032">
      <c r="E3032" s="13" t="n"/>
    </row>
    <row r="3033">
      <c r="E3033" s="13" t="n"/>
    </row>
    <row r="3034">
      <c r="E3034" s="13" t="n"/>
    </row>
    <row r="3035">
      <c r="E3035" s="13" t="n"/>
    </row>
    <row r="3036">
      <c r="E3036" s="13" t="n"/>
    </row>
    <row r="3037">
      <c r="E3037" s="13" t="n"/>
    </row>
    <row r="3038">
      <c r="E3038" s="13" t="n"/>
    </row>
    <row r="3039">
      <c r="E3039" s="13" t="n"/>
    </row>
    <row r="3040">
      <c r="E3040" s="13" t="n"/>
    </row>
    <row r="3041">
      <c r="E3041" s="13" t="n"/>
    </row>
    <row r="3042">
      <c r="E3042" s="13" t="n"/>
    </row>
    <row r="3043">
      <c r="E3043" s="13" t="n"/>
    </row>
    <row r="3044">
      <c r="E3044" s="13" t="n"/>
    </row>
    <row r="3045">
      <c r="E3045" s="13" t="n"/>
    </row>
    <row r="3046">
      <c r="E3046" s="13" t="n"/>
    </row>
    <row r="3047">
      <c r="E3047" s="13" t="n"/>
    </row>
    <row r="3048">
      <c r="E3048" s="13" t="n"/>
    </row>
    <row r="3049">
      <c r="E3049" s="13" t="n"/>
    </row>
    <row r="3050">
      <c r="E3050" s="13" t="n"/>
    </row>
    <row r="3051">
      <c r="E3051" s="13" t="n"/>
    </row>
    <row r="3052">
      <c r="E3052" s="13" t="n"/>
    </row>
    <row r="3053">
      <c r="E3053" s="13" t="n"/>
    </row>
    <row r="3054">
      <c r="E3054" s="13" t="n"/>
    </row>
    <row r="3055">
      <c r="E3055" s="13" t="n"/>
    </row>
    <row r="3056">
      <c r="E3056" s="13" t="n"/>
    </row>
    <row r="3057">
      <c r="E3057" s="13" t="n"/>
    </row>
    <row r="3058">
      <c r="E3058" s="13" t="n"/>
    </row>
    <row r="3059">
      <c r="E3059" s="13" t="n"/>
    </row>
    <row r="3060">
      <c r="E3060" s="13" t="n"/>
    </row>
    <row r="3061">
      <c r="E3061" s="13" t="n"/>
    </row>
    <row r="3062">
      <c r="E3062" s="13" t="n"/>
    </row>
    <row r="3063">
      <c r="E3063" s="13" t="n"/>
    </row>
    <row r="3064">
      <c r="E3064" s="13" t="n"/>
    </row>
    <row r="3065">
      <c r="E3065" s="13" t="n"/>
    </row>
    <row r="3066">
      <c r="E3066" s="13" t="n"/>
    </row>
    <row r="3067">
      <c r="E3067" s="13" t="n"/>
    </row>
    <row r="3068">
      <c r="E3068" s="13" t="n"/>
    </row>
    <row r="3069">
      <c r="E3069" s="13" t="n"/>
    </row>
    <row r="3070">
      <c r="E3070" s="13" t="n"/>
    </row>
    <row r="3071">
      <c r="E3071" s="13" t="n"/>
    </row>
    <row r="3072">
      <c r="E3072" s="13" t="n"/>
    </row>
    <row r="3073">
      <c r="E3073" s="13" t="n"/>
    </row>
    <row r="3074">
      <c r="E3074" s="13" t="n"/>
    </row>
    <row r="3075">
      <c r="E3075" s="13" t="n"/>
    </row>
    <row r="3076">
      <c r="E3076" s="13" t="n"/>
    </row>
    <row r="3077">
      <c r="E3077" s="13" t="n"/>
    </row>
    <row r="3078">
      <c r="E3078" s="13" t="n"/>
    </row>
    <row r="3079">
      <c r="E3079" s="13" t="n"/>
    </row>
    <row r="3080">
      <c r="E3080" s="13" t="n"/>
    </row>
    <row r="3081">
      <c r="E3081" s="13" t="n"/>
    </row>
    <row r="3082">
      <c r="E3082" s="13" t="n"/>
    </row>
    <row r="3083">
      <c r="E3083" s="13" t="n"/>
    </row>
    <row r="3084">
      <c r="E3084" s="13" t="n"/>
    </row>
    <row r="3085">
      <c r="E3085" s="13" t="n"/>
    </row>
    <row r="3086">
      <c r="E3086" s="13" t="n"/>
    </row>
    <row r="3087">
      <c r="E3087" s="13" t="n"/>
    </row>
    <row r="3088">
      <c r="E3088" s="13" t="n"/>
    </row>
    <row r="3089">
      <c r="E3089" s="13" t="n"/>
    </row>
    <row r="3090">
      <c r="E3090" s="13" t="n"/>
    </row>
    <row r="3091">
      <c r="E3091" s="13" t="n"/>
    </row>
    <row r="3092">
      <c r="E3092" s="13" t="n"/>
    </row>
    <row r="3093">
      <c r="E3093" s="13" t="n"/>
    </row>
    <row r="3094">
      <c r="E3094" s="13" t="n"/>
    </row>
    <row r="3095">
      <c r="E3095" s="13" t="n"/>
    </row>
    <row r="3096">
      <c r="E3096" s="13" t="n"/>
    </row>
    <row r="3097">
      <c r="E3097" s="13" t="n"/>
    </row>
    <row r="3098">
      <c r="E3098" s="13" t="n"/>
    </row>
    <row r="3099">
      <c r="E3099" s="13" t="n"/>
    </row>
    <row r="3100">
      <c r="E3100" s="13" t="n"/>
    </row>
    <row r="3101">
      <c r="E3101" s="13" t="n"/>
    </row>
    <row r="3102">
      <c r="E3102" s="13" t="n"/>
    </row>
    <row r="3103">
      <c r="E3103" s="13" t="n"/>
    </row>
    <row r="3104">
      <c r="E3104" s="13" t="n"/>
    </row>
    <row r="3105">
      <c r="E3105" s="13" t="n"/>
    </row>
    <row r="3106">
      <c r="E3106" s="13" t="n"/>
    </row>
    <row r="3107">
      <c r="E3107" s="13" t="n"/>
    </row>
    <row r="3108">
      <c r="E3108" s="13" t="n"/>
    </row>
    <row r="3109">
      <c r="E3109" s="13" t="n"/>
    </row>
    <row r="3110">
      <c r="E3110" s="13" t="n"/>
    </row>
    <row r="3111">
      <c r="E3111" s="13" t="n"/>
    </row>
    <row r="3112">
      <c r="E3112" s="13" t="n"/>
    </row>
    <row r="3113">
      <c r="E3113" s="13" t="n"/>
    </row>
    <row r="3114">
      <c r="E3114" s="13" t="n"/>
    </row>
    <row r="3115">
      <c r="E3115" s="13" t="n"/>
    </row>
    <row r="3116">
      <c r="E3116" s="13" t="n"/>
    </row>
    <row r="3117">
      <c r="E3117" s="13" t="n"/>
    </row>
    <row r="3118">
      <c r="E3118" s="13" t="n"/>
    </row>
    <row r="3119">
      <c r="E3119" s="13" t="n"/>
    </row>
    <row r="3120">
      <c r="E3120" s="13" t="n"/>
    </row>
    <row r="3121">
      <c r="E3121" s="13" t="n"/>
    </row>
    <row r="3122">
      <c r="E3122" s="13" t="n"/>
    </row>
    <row r="3123">
      <c r="E3123" s="13" t="n"/>
    </row>
    <row r="3124">
      <c r="E3124" s="13" t="n"/>
    </row>
    <row r="3125">
      <c r="E3125" s="13" t="n"/>
    </row>
    <row r="3126">
      <c r="E3126" s="13" t="n"/>
    </row>
    <row r="3127">
      <c r="E3127" s="13" t="n"/>
    </row>
    <row r="3128">
      <c r="E3128" s="13" t="n"/>
    </row>
    <row r="3129">
      <c r="E3129" s="13" t="n"/>
    </row>
    <row r="3130">
      <c r="E3130" s="13" t="n"/>
    </row>
    <row r="3131">
      <c r="E3131" s="13" t="n"/>
    </row>
    <row r="3132">
      <c r="E3132" s="13" t="n"/>
    </row>
    <row r="3133">
      <c r="E3133" s="13" t="n"/>
    </row>
    <row r="3134">
      <c r="E3134" s="13" t="n"/>
    </row>
    <row r="3135">
      <c r="E3135" s="13" t="n"/>
    </row>
    <row r="3136">
      <c r="E3136" s="13" t="n"/>
    </row>
    <row r="3137">
      <c r="E3137" s="13" t="n"/>
    </row>
    <row r="3138">
      <c r="E3138" s="13" t="n"/>
    </row>
    <row r="3139">
      <c r="E3139" s="13" t="n"/>
    </row>
    <row r="3140">
      <c r="E3140" s="13" t="n"/>
    </row>
    <row r="3141">
      <c r="E3141" s="13" t="n"/>
    </row>
    <row r="3142">
      <c r="E3142" s="13" t="n"/>
    </row>
    <row r="3143">
      <c r="E3143" s="13" t="n"/>
    </row>
    <row r="3144">
      <c r="E3144" s="13" t="n"/>
    </row>
    <row r="3145">
      <c r="E3145" s="13" t="n"/>
    </row>
    <row r="3146">
      <c r="E3146" s="13" t="n"/>
    </row>
    <row r="3147">
      <c r="E3147" s="13" t="n"/>
    </row>
    <row r="3148">
      <c r="E3148" s="13" t="n"/>
    </row>
    <row r="3149">
      <c r="E3149" s="13" t="n"/>
    </row>
    <row r="3150">
      <c r="E3150" s="13" t="n"/>
    </row>
    <row r="3151">
      <c r="E3151" s="13" t="n"/>
    </row>
    <row r="3152">
      <c r="E3152" s="13" t="n"/>
    </row>
    <row r="3153">
      <c r="E3153" s="13" t="n"/>
    </row>
    <row r="3154">
      <c r="E3154" s="13" t="n"/>
    </row>
    <row r="3155">
      <c r="E3155" s="13" t="n"/>
    </row>
    <row r="3156">
      <c r="E3156" s="13" t="n"/>
    </row>
    <row r="3157">
      <c r="E3157" s="13" t="n"/>
    </row>
    <row r="3158">
      <c r="E3158" s="13" t="n"/>
    </row>
    <row r="3159">
      <c r="E3159" s="13" t="n"/>
    </row>
    <row r="3160">
      <c r="E3160" s="13" t="n"/>
    </row>
    <row r="3161">
      <c r="E3161" s="13" t="n"/>
    </row>
    <row r="3162">
      <c r="E3162" s="13" t="n"/>
    </row>
    <row r="3163">
      <c r="E3163" s="13" t="n"/>
    </row>
    <row r="3164">
      <c r="E3164" s="13" t="n"/>
    </row>
    <row r="3165">
      <c r="E3165" s="13" t="n"/>
    </row>
    <row r="3166">
      <c r="E3166" s="13" t="n"/>
    </row>
    <row r="3167">
      <c r="E3167" s="13" t="n"/>
    </row>
    <row r="3168">
      <c r="E3168" s="13" t="n"/>
    </row>
    <row r="3169">
      <c r="E3169" s="13" t="n"/>
    </row>
    <row r="3170">
      <c r="E3170" s="13" t="n"/>
    </row>
    <row r="3171">
      <c r="E3171" s="13" t="n"/>
    </row>
    <row r="3172">
      <c r="E3172" s="13" t="n"/>
    </row>
    <row r="3173">
      <c r="E3173" s="13" t="n"/>
    </row>
    <row r="3174">
      <c r="E3174" s="13" t="n"/>
    </row>
    <row r="3175">
      <c r="E3175" s="13" t="n"/>
    </row>
    <row r="3176">
      <c r="E3176" s="13" t="n"/>
    </row>
    <row r="3177">
      <c r="E3177" s="13" t="n"/>
    </row>
    <row r="3178">
      <c r="E3178" s="13" t="n"/>
    </row>
    <row r="3179">
      <c r="E3179" s="13" t="n"/>
    </row>
    <row r="3180">
      <c r="E3180" s="13" t="n"/>
    </row>
    <row r="3181">
      <c r="E3181" s="13" t="n"/>
    </row>
    <row r="3182">
      <c r="E3182" s="13" t="n"/>
    </row>
    <row r="3183">
      <c r="E3183" s="13" t="n"/>
    </row>
    <row r="3184">
      <c r="E3184" s="13" t="n"/>
    </row>
    <row r="3185">
      <c r="E3185" s="13" t="n"/>
    </row>
    <row r="3186">
      <c r="E3186" s="13" t="n"/>
    </row>
    <row r="3187">
      <c r="E3187" s="13" t="n"/>
    </row>
    <row r="3188">
      <c r="E3188" s="13" t="n"/>
    </row>
    <row r="3189">
      <c r="E3189" s="13" t="n"/>
    </row>
    <row r="3190">
      <c r="E3190" s="13" t="n"/>
    </row>
    <row r="3191">
      <c r="E3191" s="13" t="n"/>
    </row>
    <row r="3192">
      <c r="E3192" s="13" t="n"/>
    </row>
    <row r="3193">
      <c r="E3193" s="13" t="n"/>
    </row>
    <row r="3194">
      <c r="E3194" s="13" t="n"/>
    </row>
    <row r="3195">
      <c r="E3195" s="13" t="n"/>
    </row>
    <row r="3196">
      <c r="E3196" s="13" t="n"/>
    </row>
    <row r="3197">
      <c r="E3197" s="13" t="n"/>
    </row>
    <row r="3198">
      <c r="E3198" s="13" t="n"/>
    </row>
    <row r="3199">
      <c r="E3199" s="13" t="n"/>
    </row>
    <row r="3200">
      <c r="E3200" s="13" t="n"/>
    </row>
    <row r="3201">
      <c r="E3201" s="13" t="n"/>
    </row>
    <row r="3202">
      <c r="E3202" s="13" t="n"/>
    </row>
    <row r="3203">
      <c r="E3203" s="13" t="n"/>
    </row>
    <row r="3204">
      <c r="E3204" s="13" t="n"/>
    </row>
    <row r="3205">
      <c r="E3205" s="13" t="n"/>
    </row>
    <row r="3206">
      <c r="E3206" s="13" t="n"/>
    </row>
    <row r="3207">
      <c r="E3207" s="13" t="n"/>
    </row>
    <row r="3208">
      <c r="E3208" s="13" t="n"/>
    </row>
    <row r="3209">
      <c r="E3209" s="13" t="n"/>
    </row>
    <row r="3210">
      <c r="E3210" s="13" t="n"/>
    </row>
    <row r="3211">
      <c r="E3211" s="13" t="n"/>
    </row>
    <row r="3212">
      <c r="E3212" s="13" t="n"/>
    </row>
    <row r="3213">
      <c r="E3213" s="13" t="n"/>
    </row>
    <row r="3214">
      <c r="E3214" s="13" t="n"/>
    </row>
    <row r="3215">
      <c r="E3215" s="13" t="n"/>
    </row>
    <row r="3216">
      <c r="E3216" s="13" t="n"/>
    </row>
    <row r="3217">
      <c r="E3217" s="13" t="n"/>
    </row>
    <row r="3218">
      <c r="E3218" s="13" t="n"/>
    </row>
    <row r="3219">
      <c r="E3219" s="13" t="n"/>
    </row>
    <row r="3220">
      <c r="E3220" s="13" t="n"/>
    </row>
    <row r="3221">
      <c r="E3221" s="13" t="n"/>
    </row>
    <row r="3222">
      <c r="E3222" s="13" t="n"/>
    </row>
    <row r="3223">
      <c r="E3223" s="13" t="n"/>
    </row>
    <row r="3224">
      <c r="E3224" s="13" t="n"/>
    </row>
    <row r="3225">
      <c r="E3225" s="13" t="n"/>
    </row>
    <row r="3226">
      <c r="E3226" s="13" t="n"/>
    </row>
    <row r="3227">
      <c r="E3227" s="13" t="n"/>
    </row>
    <row r="3228">
      <c r="E3228" s="13" t="n"/>
    </row>
    <row r="3229">
      <c r="E3229" s="13" t="n"/>
    </row>
    <row r="3230">
      <c r="E3230" s="13" t="n"/>
    </row>
    <row r="3231">
      <c r="E3231" s="13" t="n"/>
    </row>
    <row r="3232">
      <c r="E3232" s="13" t="n"/>
    </row>
    <row r="3233">
      <c r="E3233" s="13" t="n"/>
    </row>
    <row r="3234">
      <c r="E3234" s="13" t="n"/>
    </row>
    <row r="3235">
      <c r="E3235" s="13" t="n"/>
    </row>
    <row r="3236">
      <c r="E3236" s="13" t="n"/>
    </row>
    <row r="3237">
      <c r="E3237" s="13" t="n"/>
    </row>
    <row r="3238">
      <c r="E3238" s="13" t="n"/>
    </row>
    <row r="3239">
      <c r="E3239" s="13" t="n"/>
    </row>
    <row r="3240">
      <c r="E3240" s="13" t="n"/>
    </row>
    <row r="3241">
      <c r="E3241" s="13" t="n"/>
    </row>
    <row r="3242">
      <c r="E3242" s="13" t="n"/>
    </row>
    <row r="3243">
      <c r="E3243" s="13" t="n"/>
    </row>
    <row r="3244">
      <c r="E3244" s="13" t="n"/>
    </row>
    <row r="3245">
      <c r="E3245" s="13" t="n"/>
    </row>
    <row r="3246">
      <c r="E3246" s="13" t="n"/>
    </row>
    <row r="3247">
      <c r="E3247" s="13" t="n"/>
    </row>
    <row r="3248">
      <c r="E3248" s="13" t="n"/>
    </row>
    <row r="3249">
      <c r="E3249" s="13" t="n"/>
    </row>
    <row r="3250">
      <c r="E3250" s="13" t="n"/>
    </row>
    <row r="3251">
      <c r="E3251" s="13" t="n"/>
    </row>
    <row r="3252">
      <c r="E3252" s="13" t="n"/>
    </row>
    <row r="3253">
      <c r="E3253" s="13" t="n"/>
    </row>
    <row r="3254">
      <c r="E3254" s="13" t="n"/>
    </row>
    <row r="3255">
      <c r="E3255" s="13" t="n"/>
    </row>
    <row r="3256">
      <c r="E3256" s="13" t="n"/>
    </row>
    <row r="3257">
      <c r="E3257" s="13" t="n"/>
    </row>
    <row r="3258">
      <c r="E3258" s="13" t="n"/>
    </row>
    <row r="3259">
      <c r="E3259" s="13" t="n"/>
    </row>
    <row r="3260">
      <c r="E3260" s="13" t="n"/>
    </row>
    <row r="3261">
      <c r="E3261" s="13" t="n"/>
    </row>
    <row r="3262">
      <c r="E3262" s="13" t="n"/>
    </row>
    <row r="3263">
      <c r="E3263" s="13" t="n"/>
    </row>
    <row r="3264">
      <c r="E3264" s="13" t="n"/>
    </row>
    <row r="3265">
      <c r="E3265" s="13" t="n"/>
    </row>
    <row r="3266">
      <c r="E3266" s="13" t="n"/>
    </row>
    <row r="3267">
      <c r="E3267" s="13" t="n"/>
    </row>
    <row r="3268">
      <c r="E3268" s="13" t="n"/>
    </row>
    <row r="3269">
      <c r="E3269" s="13" t="n"/>
    </row>
    <row r="3270">
      <c r="E3270" s="13" t="n"/>
    </row>
    <row r="3271">
      <c r="E3271" s="13" t="n"/>
    </row>
    <row r="3272">
      <c r="E3272" s="13" t="n"/>
    </row>
    <row r="3273">
      <c r="E3273" s="13" t="n"/>
    </row>
    <row r="3274">
      <c r="E3274" s="13" t="n"/>
    </row>
    <row r="3275">
      <c r="E3275" s="13" t="n"/>
    </row>
    <row r="3276">
      <c r="E3276" s="13" t="n"/>
    </row>
    <row r="3277">
      <c r="E3277" s="13" t="n"/>
    </row>
    <row r="3278">
      <c r="E3278" s="13" t="n"/>
    </row>
    <row r="3279">
      <c r="E3279" s="13" t="n"/>
    </row>
    <row r="3280">
      <c r="E3280" s="13" t="n"/>
    </row>
    <row r="3281">
      <c r="E3281" s="13" t="n"/>
    </row>
    <row r="3282">
      <c r="E3282" s="13" t="n"/>
    </row>
    <row r="3283">
      <c r="E3283" s="13" t="n"/>
    </row>
    <row r="3284">
      <c r="E3284" s="13" t="n"/>
    </row>
    <row r="3285">
      <c r="E3285" s="13" t="n"/>
    </row>
    <row r="3286">
      <c r="E3286" s="13" t="n"/>
    </row>
    <row r="3287">
      <c r="E3287" s="13" t="n"/>
    </row>
    <row r="3288">
      <c r="E3288" s="13" t="n"/>
    </row>
    <row r="3289">
      <c r="E3289" s="13" t="n"/>
    </row>
    <row r="3290">
      <c r="E3290" s="13" t="n"/>
    </row>
    <row r="3291">
      <c r="E3291" s="13" t="n"/>
    </row>
    <row r="3292">
      <c r="E3292" s="13" t="n"/>
    </row>
    <row r="3293">
      <c r="E3293" s="13" t="n"/>
    </row>
    <row r="3294">
      <c r="E3294" s="13" t="n"/>
    </row>
    <row r="3295">
      <c r="E3295" s="13" t="n"/>
    </row>
    <row r="3296">
      <c r="E3296" s="13" t="n"/>
    </row>
    <row r="3297">
      <c r="E3297" s="13" t="n"/>
    </row>
    <row r="3298">
      <c r="E3298" s="13" t="n"/>
    </row>
    <row r="3299">
      <c r="E3299" s="13" t="n"/>
    </row>
    <row r="3300">
      <c r="E3300" s="13" t="n"/>
    </row>
    <row r="3301">
      <c r="E3301" s="13" t="n"/>
    </row>
    <row r="3302">
      <c r="E3302" s="13" t="n"/>
    </row>
    <row r="3303">
      <c r="E3303" s="13" t="n"/>
    </row>
    <row r="3304">
      <c r="E3304" s="13" t="n"/>
    </row>
    <row r="3305">
      <c r="E3305" s="13" t="n"/>
    </row>
    <row r="3306">
      <c r="E3306" s="13" t="n"/>
    </row>
    <row r="3307">
      <c r="E3307" s="13" t="n"/>
    </row>
    <row r="3308">
      <c r="E3308" s="13" t="n"/>
    </row>
    <row r="3309">
      <c r="E3309" s="13" t="n"/>
    </row>
    <row r="3310">
      <c r="E3310" s="13" t="n"/>
    </row>
    <row r="3311">
      <c r="E3311" s="13" t="n"/>
    </row>
    <row r="3312">
      <c r="E3312" s="13" t="n"/>
    </row>
    <row r="3313">
      <c r="E3313" s="13" t="n"/>
    </row>
    <row r="3314">
      <c r="E3314" s="13" t="n"/>
    </row>
    <row r="3315">
      <c r="E3315" s="13" t="n"/>
    </row>
    <row r="3316">
      <c r="E3316" s="13" t="n"/>
    </row>
    <row r="3317">
      <c r="E3317" s="13" t="n"/>
    </row>
    <row r="3318">
      <c r="E3318" s="13" t="n"/>
    </row>
    <row r="3319">
      <c r="E3319" s="13" t="n"/>
    </row>
    <row r="3320">
      <c r="E3320" s="13" t="n"/>
    </row>
    <row r="3321">
      <c r="E3321" s="13" t="n"/>
    </row>
    <row r="3322">
      <c r="E3322" s="13" t="n"/>
    </row>
    <row r="3323">
      <c r="E3323" s="13" t="n"/>
    </row>
    <row r="3324">
      <c r="E3324" s="13" t="n"/>
    </row>
    <row r="3325">
      <c r="E3325" s="13" t="n"/>
    </row>
    <row r="3326">
      <c r="E3326" s="13" t="n"/>
    </row>
    <row r="3327">
      <c r="E3327" s="13" t="n"/>
    </row>
    <row r="3328">
      <c r="E3328" s="13" t="n"/>
    </row>
    <row r="3329">
      <c r="E3329" s="13" t="n"/>
    </row>
    <row r="3330">
      <c r="E3330" s="13" t="n"/>
    </row>
    <row r="3331">
      <c r="E3331" s="13" t="n"/>
    </row>
    <row r="3332">
      <c r="E3332" s="13" t="n"/>
    </row>
    <row r="3333">
      <c r="E3333" s="13" t="n"/>
    </row>
    <row r="3334">
      <c r="E3334" s="13" t="n"/>
    </row>
    <row r="3335">
      <c r="E3335" s="13" t="n"/>
    </row>
    <row r="3336">
      <c r="E3336" s="13" t="n"/>
    </row>
    <row r="3337">
      <c r="E3337" s="13" t="n"/>
    </row>
    <row r="3338">
      <c r="E3338" s="13" t="n"/>
    </row>
    <row r="3339">
      <c r="E3339" s="13" t="n"/>
    </row>
    <row r="3340">
      <c r="E3340" s="13" t="n"/>
    </row>
    <row r="3341">
      <c r="E3341" s="13" t="n"/>
    </row>
    <row r="3342">
      <c r="E3342" s="13" t="n"/>
    </row>
    <row r="3343">
      <c r="E3343" s="13" t="n"/>
    </row>
    <row r="3344">
      <c r="E3344" s="13" t="n"/>
    </row>
    <row r="3345">
      <c r="E3345" s="13" t="n"/>
    </row>
    <row r="3346">
      <c r="E3346" s="13" t="n"/>
    </row>
    <row r="3347">
      <c r="E3347" s="13" t="n"/>
    </row>
    <row r="3348">
      <c r="E3348" s="13" t="n"/>
    </row>
    <row r="3349">
      <c r="E3349" s="13" t="n"/>
    </row>
    <row r="3350">
      <c r="E3350" s="13" t="n"/>
    </row>
    <row r="3351">
      <c r="E3351" s="13" t="n"/>
    </row>
    <row r="3352">
      <c r="E3352" s="13" t="n"/>
    </row>
    <row r="3353">
      <c r="E3353" s="13" t="n"/>
    </row>
    <row r="3354">
      <c r="E3354" s="13" t="n"/>
    </row>
    <row r="3355">
      <c r="E3355" s="13" t="n"/>
    </row>
    <row r="3356">
      <c r="E3356" s="13" t="n"/>
    </row>
    <row r="3357">
      <c r="E3357" s="13" t="n"/>
    </row>
    <row r="3358">
      <c r="E3358" s="13" t="n"/>
    </row>
    <row r="3359">
      <c r="E3359" s="13" t="n"/>
    </row>
    <row r="3360">
      <c r="E3360" s="13" t="n"/>
    </row>
    <row r="3361">
      <c r="E3361" s="13" t="n"/>
    </row>
    <row r="3362">
      <c r="E3362" s="13" t="n"/>
    </row>
    <row r="3363">
      <c r="E3363" s="13" t="n"/>
    </row>
    <row r="3364">
      <c r="E3364" s="13" t="n"/>
    </row>
    <row r="3365">
      <c r="E3365" s="13" t="n"/>
    </row>
    <row r="3366">
      <c r="E3366" s="13" t="n"/>
    </row>
    <row r="3367">
      <c r="E3367" s="13" t="n"/>
    </row>
    <row r="3368">
      <c r="E3368" s="13" t="n"/>
    </row>
    <row r="3369">
      <c r="E3369" s="13" t="n"/>
    </row>
    <row r="3370">
      <c r="E3370" s="13" t="n"/>
    </row>
    <row r="3371">
      <c r="E3371" s="13" t="n"/>
    </row>
    <row r="3372">
      <c r="E3372" s="13" t="n"/>
    </row>
    <row r="3373">
      <c r="E3373" s="13" t="n"/>
    </row>
    <row r="3374">
      <c r="E3374" s="13" t="n"/>
    </row>
    <row r="3375">
      <c r="E3375" s="13" t="n"/>
    </row>
    <row r="3376">
      <c r="E3376" s="13" t="n"/>
    </row>
    <row r="3377">
      <c r="E3377" s="13" t="n"/>
    </row>
    <row r="3378">
      <c r="E3378" s="13" t="n"/>
    </row>
    <row r="3379">
      <c r="E3379" s="13" t="n"/>
    </row>
    <row r="3380">
      <c r="E3380" s="13" t="n"/>
    </row>
    <row r="3381">
      <c r="E3381" s="13" t="n"/>
    </row>
    <row r="3382">
      <c r="E3382" s="13" t="n"/>
    </row>
    <row r="3383">
      <c r="E3383" s="13" t="n"/>
    </row>
    <row r="3384">
      <c r="E3384" s="13" t="n"/>
    </row>
    <row r="3385">
      <c r="E3385" s="13" t="n"/>
    </row>
    <row r="3386">
      <c r="E3386" s="13" t="n"/>
    </row>
    <row r="3387">
      <c r="E3387" s="13" t="n"/>
    </row>
    <row r="3388">
      <c r="E3388" s="13" t="n"/>
    </row>
    <row r="3389">
      <c r="E3389" s="13" t="n"/>
    </row>
    <row r="3390">
      <c r="E3390" s="13" t="n"/>
    </row>
    <row r="3391">
      <c r="E3391" s="13" t="n"/>
    </row>
    <row r="3392">
      <c r="E3392" s="13" t="n"/>
    </row>
    <row r="3393">
      <c r="E3393" s="13" t="n"/>
    </row>
    <row r="3394">
      <c r="E3394" s="13" t="n"/>
    </row>
    <row r="3395">
      <c r="E3395" s="13" t="n"/>
    </row>
    <row r="3396">
      <c r="E3396" s="13" t="n"/>
    </row>
    <row r="3397">
      <c r="E3397" s="13" t="n"/>
    </row>
    <row r="3398">
      <c r="E3398" s="13" t="n"/>
    </row>
    <row r="3399">
      <c r="E3399" s="13" t="n"/>
    </row>
    <row r="3400">
      <c r="E3400" s="13" t="n"/>
    </row>
    <row r="3401">
      <c r="E3401" s="13" t="n"/>
    </row>
    <row r="3402">
      <c r="E3402" s="13" t="n"/>
    </row>
    <row r="3403">
      <c r="E3403" s="13" t="n"/>
    </row>
    <row r="3404">
      <c r="E3404" s="13" t="n"/>
    </row>
    <row r="3405">
      <c r="E3405" s="13" t="n"/>
    </row>
    <row r="3406">
      <c r="E3406" s="13" t="n"/>
    </row>
    <row r="3407">
      <c r="E3407" s="13" t="n"/>
    </row>
    <row r="3408">
      <c r="E3408" s="13" t="n"/>
    </row>
    <row r="3409">
      <c r="E3409" s="13" t="n"/>
    </row>
    <row r="3410">
      <c r="E3410" s="13" t="n"/>
    </row>
    <row r="3411">
      <c r="E3411" s="13" t="n"/>
    </row>
    <row r="3412">
      <c r="E3412" s="13" t="n"/>
    </row>
    <row r="3413">
      <c r="E3413" s="13" t="n"/>
    </row>
    <row r="3414">
      <c r="E3414" s="13" t="n"/>
    </row>
    <row r="3415">
      <c r="E3415" s="13" t="n"/>
    </row>
    <row r="3416">
      <c r="E3416" s="13" t="n"/>
    </row>
    <row r="3417">
      <c r="E3417" s="13" t="n"/>
    </row>
    <row r="3418">
      <c r="E3418" s="13" t="n"/>
    </row>
    <row r="3419">
      <c r="E3419" s="13" t="n"/>
    </row>
    <row r="3420">
      <c r="E3420" s="13" t="n"/>
    </row>
    <row r="3421">
      <c r="E3421" s="13" t="n"/>
    </row>
    <row r="3422">
      <c r="E3422" s="13" t="n"/>
    </row>
    <row r="3423">
      <c r="E3423" s="13" t="n"/>
    </row>
    <row r="3424">
      <c r="E3424" s="13" t="n"/>
    </row>
    <row r="3425">
      <c r="E3425" s="13" t="n"/>
    </row>
    <row r="3426">
      <c r="E3426" s="13" t="n"/>
    </row>
    <row r="3427">
      <c r="E3427" s="13" t="n"/>
    </row>
    <row r="3428">
      <c r="E3428" s="13" t="n"/>
    </row>
    <row r="3429">
      <c r="E3429" s="13" t="n"/>
    </row>
    <row r="3430">
      <c r="E3430" s="13" t="n"/>
    </row>
    <row r="3431">
      <c r="E3431" s="13" t="n"/>
    </row>
    <row r="3432">
      <c r="E3432" s="13" t="n"/>
    </row>
    <row r="3433">
      <c r="E3433" s="13" t="n"/>
    </row>
    <row r="3434">
      <c r="E3434" s="13" t="n"/>
    </row>
    <row r="3435">
      <c r="E3435" s="13" t="n"/>
    </row>
    <row r="3436">
      <c r="E3436" s="13" t="n"/>
    </row>
    <row r="3437">
      <c r="E3437" s="13" t="n"/>
    </row>
    <row r="3438">
      <c r="E3438" s="13" t="n"/>
    </row>
    <row r="3439">
      <c r="E3439" s="13" t="n"/>
    </row>
    <row r="3440">
      <c r="E3440" s="13" t="n"/>
    </row>
    <row r="3441">
      <c r="E3441" s="13" t="n"/>
    </row>
    <row r="3442">
      <c r="E3442" s="13" t="n"/>
    </row>
    <row r="3443">
      <c r="E3443" s="13" t="n"/>
    </row>
    <row r="3444">
      <c r="E3444" s="13" t="n"/>
    </row>
    <row r="3445">
      <c r="E3445" s="13" t="n"/>
    </row>
    <row r="3446">
      <c r="E3446" s="13" t="n"/>
    </row>
    <row r="3447">
      <c r="E3447" s="13" t="n"/>
    </row>
    <row r="3448">
      <c r="E3448" s="13" t="n"/>
    </row>
    <row r="3449">
      <c r="E3449" s="13" t="n"/>
    </row>
    <row r="3450">
      <c r="E3450" s="13" t="n"/>
    </row>
    <row r="3451">
      <c r="E3451" s="13" t="n"/>
    </row>
    <row r="3452">
      <c r="E3452" s="13" t="n"/>
    </row>
    <row r="3453">
      <c r="E3453" s="13" t="n"/>
    </row>
    <row r="3454">
      <c r="E3454" s="13" t="n"/>
    </row>
    <row r="3455">
      <c r="E3455" s="13" t="n"/>
    </row>
    <row r="3456">
      <c r="E3456" s="13" t="n"/>
    </row>
    <row r="3457">
      <c r="E3457" s="13" t="n"/>
    </row>
    <row r="3458">
      <c r="E3458" s="13" t="n"/>
    </row>
    <row r="3459">
      <c r="E3459" s="13" t="n"/>
    </row>
    <row r="3460">
      <c r="E3460" s="13" t="n"/>
    </row>
    <row r="3461">
      <c r="E3461" s="13" t="n"/>
    </row>
    <row r="3462">
      <c r="E3462" s="13" t="n"/>
    </row>
    <row r="3463">
      <c r="E3463" s="13" t="n"/>
    </row>
    <row r="3464">
      <c r="E3464" s="13" t="n"/>
    </row>
    <row r="3465">
      <c r="E3465" s="13" t="n"/>
    </row>
    <row r="3466">
      <c r="E3466" s="13" t="n"/>
    </row>
    <row r="3467">
      <c r="E3467" s="13" t="n"/>
    </row>
    <row r="3468">
      <c r="E3468" s="13" t="n"/>
    </row>
    <row r="3469">
      <c r="E3469" s="13" t="n"/>
    </row>
    <row r="3470">
      <c r="E3470" s="13" t="n"/>
    </row>
    <row r="3471">
      <c r="E3471" s="13" t="n"/>
    </row>
    <row r="3472">
      <c r="E3472" s="13" t="n"/>
    </row>
    <row r="3473">
      <c r="E3473" s="13" t="n"/>
    </row>
    <row r="3474">
      <c r="E3474" s="13" t="n"/>
    </row>
    <row r="3475">
      <c r="E3475" s="13" t="n"/>
    </row>
    <row r="3476">
      <c r="E3476" s="13" t="n"/>
    </row>
    <row r="3477">
      <c r="E3477" s="13" t="n"/>
    </row>
    <row r="3478">
      <c r="E3478" s="13" t="n"/>
    </row>
    <row r="3479">
      <c r="E3479" s="13" t="n"/>
    </row>
    <row r="3480">
      <c r="E3480" s="13" t="n"/>
    </row>
    <row r="3481">
      <c r="E3481" s="13" t="n"/>
    </row>
    <row r="3482">
      <c r="E3482" s="13" t="n"/>
    </row>
    <row r="3483">
      <c r="E3483" s="13" t="n"/>
    </row>
    <row r="3484">
      <c r="E3484" s="13" t="n"/>
    </row>
    <row r="3485">
      <c r="E3485" s="13" t="n"/>
    </row>
    <row r="3486">
      <c r="E3486" s="13" t="n"/>
    </row>
    <row r="3487">
      <c r="E3487" s="13" t="n"/>
    </row>
    <row r="3488">
      <c r="E3488" s="13" t="n"/>
    </row>
    <row r="3489">
      <c r="E3489" s="13" t="n"/>
    </row>
    <row r="3490">
      <c r="E3490" s="13" t="n"/>
    </row>
    <row r="3491">
      <c r="E3491" s="13" t="n"/>
    </row>
    <row r="3492">
      <c r="E3492" s="13" t="n"/>
    </row>
    <row r="3493">
      <c r="E3493" s="13" t="n"/>
    </row>
    <row r="3494">
      <c r="E3494" s="13" t="n"/>
    </row>
    <row r="3495">
      <c r="E3495" s="13" t="n"/>
    </row>
    <row r="3496">
      <c r="E3496" s="13" t="n"/>
    </row>
    <row r="3497">
      <c r="E3497" s="13" t="n"/>
    </row>
    <row r="3498">
      <c r="E3498" s="13" t="n"/>
    </row>
    <row r="3499">
      <c r="E3499" s="13" t="n"/>
    </row>
    <row r="3500">
      <c r="E3500" s="13" t="n"/>
    </row>
    <row r="3501">
      <c r="E3501" s="13" t="n"/>
    </row>
    <row r="3502">
      <c r="E3502" s="13" t="n"/>
    </row>
    <row r="3503">
      <c r="E3503" s="13" t="n"/>
    </row>
    <row r="3504">
      <c r="E3504" s="13" t="n"/>
    </row>
    <row r="3505">
      <c r="E3505" s="13" t="n"/>
    </row>
    <row r="3506">
      <c r="E3506" s="13" t="n"/>
    </row>
    <row r="3507">
      <c r="E3507" s="13" t="n"/>
    </row>
    <row r="3508">
      <c r="E3508" s="13" t="n"/>
    </row>
    <row r="3509">
      <c r="E3509" s="13" t="n"/>
    </row>
    <row r="3510">
      <c r="E3510" s="13" t="n"/>
    </row>
    <row r="3511">
      <c r="E3511" s="13" t="n"/>
    </row>
    <row r="3512">
      <c r="E3512" s="13" t="n"/>
    </row>
    <row r="3513">
      <c r="E3513" s="13" t="n"/>
    </row>
    <row r="3514">
      <c r="E3514" s="13" t="n"/>
    </row>
    <row r="3515">
      <c r="E3515" s="13" t="n"/>
    </row>
    <row r="3516">
      <c r="E3516" s="13" t="n"/>
    </row>
    <row r="3517">
      <c r="E3517" s="13" t="n"/>
    </row>
    <row r="3518">
      <c r="E3518" s="13" t="n"/>
    </row>
    <row r="3519">
      <c r="E3519" s="13" t="n"/>
    </row>
    <row r="3520">
      <c r="E3520" s="13" t="n"/>
    </row>
    <row r="3521">
      <c r="E3521" s="13" t="n"/>
    </row>
    <row r="3522">
      <c r="E3522" s="13" t="n"/>
    </row>
    <row r="3523">
      <c r="E3523" s="13" t="n"/>
    </row>
    <row r="3524">
      <c r="E3524" s="13" t="n"/>
    </row>
    <row r="3525">
      <c r="E3525" s="13" t="n"/>
    </row>
    <row r="3526">
      <c r="E3526" s="13" t="n"/>
    </row>
    <row r="3527">
      <c r="E3527" s="13" t="n"/>
    </row>
    <row r="3528">
      <c r="E3528" s="13" t="n"/>
    </row>
    <row r="3529">
      <c r="E3529" s="13" t="n"/>
    </row>
    <row r="3530">
      <c r="E3530" s="13" t="n"/>
    </row>
    <row r="3531">
      <c r="E3531" s="13" t="n"/>
    </row>
    <row r="3532">
      <c r="E3532" s="13" t="n"/>
    </row>
    <row r="3533">
      <c r="E3533" s="13" t="n"/>
    </row>
    <row r="3534">
      <c r="E3534" s="13" t="n"/>
    </row>
    <row r="3535">
      <c r="E3535" s="13" t="n"/>
    </row>
    <row r="3536">
      <c r="E3536" s="13" t="n"/>
    </row>
    <row r="3537">
      <c r="E3537" s="13" t="n"/>
    </row>
    <row r="3538">
      <c r="E3538" s="13" t="n"/>
    </row>
    <row r="3539">
      <c r="E3539" s="13" t="n"/>
    </row>
    <row r="3540">
      <c r="E3540" s="13" t="n"/>
    </row>
    <row r="3541">
      <c r="E3541" s="13" t="n"/>
    </row>
    <row r="3542">
      <c r="E3542" s="13" t="n"/>
    </row>
    <row r="3543">
      <c r="E3543" s="13" t="n"/>
    </row>
    <row r="3544">
      <c r="E3544" s="13" t="n"/>
    </row>
    <row r="3545">
      <c r="E3545" s="13" t="n"/>
    </row>
    <row r="3546">
      <c r="E3546" s="13" t="n"/>
    </row>
    <row r="3547">
      <c r="E3547" s="13" t="n"/>
    </row>
    <row r="3548">
      <c r="E3548" s="13" t="n"/>
    </row>
    <row r="3549">
      <c r="E3549" s="13" t="n"/>
    </row>
    <row r="3550">
      <c r="E3550" s="13" t="n"/>
    </row>
    <row r="3551">
      <c r="E3551" s="13" t="n"/>
    </row>
    <row r="3552">
      <c r="E3552" s="13" t="n"/>
    </row>
    <row r="3553">
      <c r="E3553" s="13" t="n"/>
    </row>
    <row r="3554">
      <c r="E3554" s="13" t="n"/>
    </row>
    <row r="3555">
      <c r="E3555" s="13" t="n"/>
    </row>
    <row r="3556">
      <c r="E3556" s="13" t="n"/>
    </row>
    <row r="3557">
      <c r="E3557" s="13" t="n"/>
    </row>
    <row r="3558">
      <c r="E3558" s="13" t="n"/>
    </row>
    <row r="3559">
      <c r="E3559" s="13" t="n"/>
    </row>
    <row r="3560">
      <c r="E3560" s="13" t="n"/>
    </row>
    <row r="3561">
      <c r="E3561" s="13" t="n"/>
    </row>
    <row r="3562">
      <c r="E3562" s="13" t="n"/>
    </row>
    <row r="3563">
      <c r="E3563" s="13" t="n"/>
    </row>
    <row r="3564">
      <c r="E3564" s="13" t="n"/>
    </row>
    <row r="3565">
      <c r="E3565" s="13" t="n"/>
    </row>
    <row r="3566">
      <c r="E3566" s="13" t="n"/>
    </row>
    <row r="3567">
      <c r="E3567" s="13" t="n"/>
    </row>
    <row r="3568">
      <c r="E3568" s="13" t="n"/>
    </row>
    <row r="3569">
      <c r="E3569" s="13" t="n"/>
    </row>
    <row r="3570">
      <c r="E3570" s="13" t="n"/>
    </row>
    <row r="3571">
      <c r="E3571" s="13" t="n"/>
    </row>
    <row r="3572">
      <c r="E3572" s="13" t="n"/>
    </row>
    <row r="3573">
      <c r="E3573" s="13" t="n"/>
    </row>
    <row r="3574">
      <c r="E3574" s="13" t="n"/>
    </row>
    <row r="3575">
      <c r="E3575" s="13" t="n"/>
    </row>
    <row r="3576">
      <c r="E3576" s="13" t="n"/>
    </row>
    <row r="3577">
      <c r="E3577" s="13" t="n"/>
    </row>
    <row r="3578">
      <c r="E3578" s="13" t="n"/>
    </row>
    <row r="3579">
      <c r="E3579" s="13" t="n"/>
    </row>
    <row r="3580">
      <c r="E3580" s="13" t="n"/>
    </row>
    <row r="3581">
      <c r="E3581" s="13" t="n"/>
    </row>
    <row r="3582">
      <c r="E3582" s="13" t="n"/>
    </row>
    <row r="3583">
      <c r="E3583" s="13" t="n"/>
    </row>
    <row r="3584">
      <c r="E3584" s="13" t="n"/>
    </row>
    <row r="3585">
      <c r="E3585" s="13" t="n"/>
    </row>
    <row r="3586">
      <c r="E3586" s="13" t="n"/>
    </row>
    <row r="3587">
      <c r="E3587" s="13" t="n"/>
    </row>
    <row r="3588">
      <c r="E3588" s="13" t="n"/>
    </row>
    <row r="3589">
      <c r="E3589" s="13" t="n"/>
    </row>
    <row r="3590">
      <c r="E3590" s="13" t="n"/>
    </row>
    <row r="3591">
      <c r="E3591" s="13" t="n"/>
    </row>
    <row r="3592">
      <c r="E3592" s="13" t="n"/>
    </row>
    <row r="3593">
      <c r="E3593" s="13" t="n"/>
    </row>
    <row r="3594">
      <c r="E3594" s="13" t="n"/>
    </row>
    <row r="3595">
      <c r="E3595" s="13" t="n"/>
    </row>
    <row r="3596">
      <c r="E3596" s="13" t="n"/>
    </row>
    <row r="3597">
      <c r="E3597" s="13" t="n"/>
    </row>
    <row r="3598">
      <c r="E3598" s="13" t="n"/>
    </row>
    <row r="3599">
      <c r="E3599" s="13" t="n"/>
    </row>
    <row r="3600">
      <c r="E3600" s="13" t="n"/>
    </row>
    <row r="3601">
      <c r="E3601" s="13" t="n"/>
    </row>
    <row r="3602">
      <c r="E3602" s="13" t="n"/>
    </row>
    <row r="3603">
      <c r="E3603" s="13" t="n"/>
    </row>
    <row r="3604">
      <c r="E3604" s="13" t="n"/>
    </row>
    <row r="3605">
      <c r="E3605" s="13" t="n"/>
    </row>
    <row r="3606">
      <c r="E3606" s="13" t="n"/>
    </row>
    <row r="3607">
      <c r="E3607" s="13" t="n"/>
    </row>
    <row r="3608">
      <c r="E3608" s="13" t="n"/>
    </row>
    <row r="3609">
      <c r="E3609" s="13" t="n"/>
    </row>
    <row r="3610">
      <c r="E3610" s="13" t="n"/>
    </row>
    <row r="3611">
      <c r="E3611" s="13" t="n"/>
    </row>
    <row r="3612">
      <c r="E3612" s="13" t="n"/>
    </row>
    <row r="3613">
      <c r="E3613" s="13" t="n"/>
    </row>
    <row r="3614">
      <c r="E3614" s="13" t="n"/>
    </row>
    <row r="3615">
      <c r="E3615" s="13" t="n"/>
    </row>
    <row r="3616">
      <c r="E3616" s="13" t="n"/>
    </row>
    <row r="3617">
      <c r="E3617" s="13" t="n"/>
    </row>
    <row r="3618">
      <c r="E3618" s="13" t="n"/>
    </row>
    <row r="3619">
      <c r="E3619" s="13" t="n"/>
    </row>
    <row r="3620">
      <c r="E3620" s="13" t="n"/>
    </row>
    <row r="3621">
      <c r="E3621" s="13" t="n"/>
    </row>
    <row r="3622">
      <c r="E3622" s="13" t="n"/>
    </row>
    <row r="3623">
      <c r="E3623" s="13" t="n"/>
    </row>
    <row r="3624">
      <c r="E3624" s="13" t="n"/>
    </row>
    <row r="3625">
      <c r="E3625" s="13" t="n"/>
    </row>
    <row r="3626">
      <c r="E3626" s="13" t="n"/>
    </row>
    <row r="3627">
      <c r="E3627" s="13" t="n"/>
    </row>
    <row r="3628">
      <c r="E3628" s="13" t="n"/>
    </row>
    <row r="3629">
      <c r="E3629" s="13" t="n"/>
    </row>
    <row r="3630">
      <c r="E3630" s="13" t="n"/>
    </row>
    <row r="3631">
      <c r="E3631" s="13" t="n"/>
    </row>
    <row r="3632">
      <c r="E3632" s="13" t="n"/>
    </row>
    <row r="3633">
      <c r="E3633" s="13" t="n"/>
    </row>
    <row r="3634">
      <c r="E3634" s="13" t="n"/>
    </row>
    <row r="3635">
      <c r="E3635" s="13" t="n"/>
    </row>
    <row r="3636">
      <c r="E3636" s="13" t="n"/>
    </row>
    <row r="3637">
      <c r="E3637" s="13" t="n"/>
    </row>
    <row r="3638">
      <c r="E3638" s="13" t="n"/>
    </row>
    <row r="3639">
      <c r="E3639" s="13" t="n"/>
    </row>
    <row r="3640">
      <c r="E3640" s="13" t="n"/>
    </row>
    <row r="3641">
      <c r="E3641" s="13" t="n"/>
    </row>
    <row r="3642">
      <c r="E3642" s="13" t="n"/>
    </row>
    <row r="3643">
      <c r="E3643" s="13" t="n"/>
    </row>
    <row r="3644">
      <c r="E3644" s="13" t="n"/>
    </row>
    <row r="3645">
      <c r="E3645" s="13" t="n"/>
    </row>
    <row r="3646">
      <c r="E3646" s="13" t="n"/>
    </row>
    <row r="3647">
      <c r="E3647" s="13" t="n"/>
    </row>
    <row r="3648">
      <c r="E3648" s="13" t="n"/>
    </row>
    <row r="3649">
      <c r="E3649" s="13" t="n"/>
    </row>
    <row r="3650">
      <c r="E3650" s="13" t="n"/>
    </row>
    <row r="3651">
      <c r="E3651" s="13" t="n"/>
    </row>
    <row r="3652">
      <c r="E3652" s="13" t="n"/>
    </row>
    <row r="3653">
      <c r="E3653" s="13" t="n"/>
    </row>
    <row r="3654">
      <c r="E3654" s="13" t="n"/>
    </row>
    <row r="3655">
      <c r="E3655" s="13" t="n"/>
    </row>
    <row r="3656">
      <c r="E3656" s="13" t="n"/>
    </row>
    <row r="3657">
      <c r="E3657" s="13" t="n"/>
    </row>
    <row r="3658">
      <c r="E3658" s="13" t="n"/>
    </row>
    <row r="3659">
      <c r="E3659" s="13" t="n"/>
    </row>
    <row r="3660">
      <c r="E3660" s="13" t="n"/>
    </row>
    <row r="3661">
      <c r="E3661" s="13" t="n"/>
    </row>
    <row r="3662">
      <c r="E3662" s="13" t="n"/>
    </row>
    <row r="3663">
      <c r="E3663" s="13" t="n"/>
    </row>
    <row r="3664">
      <c r="E3664" s="13" t="n"/>
    </row>
    <row r="3665">
      <c r="E3665" s="13" t="n"/>
    </row>
    <row r="3666">
      <c r="E3666" s="13" t="n"/>
    </row>
    <row r="3667">
      <c r="E3667" s="13" t="n"/>
    </row>
    <row r="3668">
      <c r="E3668" s="13" t="n"/>
    </row>
    <row r="3669">
      <c r="E3669" s="13" t="n"/>
    </row>
    <row r="3670">
      <c r="E3670" s="13" t="n"/>
    </row>
    <row r="3671">
      <c r="E3671" s="13" t="n"/>
    </row>
    <row r="3672">
      <c r="E3672" s="13" t="n"/>
    </row>
    <row r="3673">
      <c r="E3673" s="13" t="n"/>
    </row>
    <row r="3674">
      <c r="E3674" s="13" t="n"/>
    </row>
    <row r="3675">
      <c r="E3675" s="13" t="n"/>
    </row>
    <row r="3676">
      <c r="E3676" s="13" t="n"/>
    </row>
    <row r="3677">
      <c r="E3677" s="13" t="n"/>
    </row>
    <row r="3678">
      <c r="E3678" s="13" t="n"/>
    </row>
    <row r="3679">
      <c r="E3679" s="13" t="n"/>
    </row>
    <row r="3680">
      <c r="E3680" s="13" t="n"/>
    </row>
    <row r="3681">
      <c r="E3681" s="13" t="n"/>
    </row>
    <row r="3682">
      <c r="E3682" s="13" t="n"/>
    </row>
    <row r="3683">
      <c r="E3683" s="13" t="n"/>
    </row>
    <row r="3684">
      <c r="E3684" s="13" t="n"/>
    </row>
    <row r="3685">
      <c r="E3685" s="13" t="n"/>
    </row>
    <row r="3686">
      <c r="E3686" s="13" t="n"/>
    </row>
    <row r="3687">
      <c r="E3687" s="13" t="n"/>
    </row>
    <row r="3688">
      <c r="E3688" s="13" t="n"/>
    </row>
    <row r="3689">
      <c r="E3689" s="13" t="n"/>
    </row>
    <row r="3690">
      <c r="E3690" s="13" t="n"/>
    </row>
    <row r="3691">
      <c r="E3691" s="13" t="n"/>
    </row>
    <row r="3692">
      <c r="E3692" s="13" t="n"/>
    </row>
    <row r="3693">
      <c r="E3693" s="13" t="n"/>
    </row>
    <row r="3694">
      <c r="E3694" s="13" t="n"/>
    </row>
    <row r="3695">
      <c r="E3695" s="13" t="n"/>
    </row>
    <row r="3696">
      <c r="E3696" s="13" t="n"/>
    </row>
    <row r="3697">
      <c r="E3697" s="13" t="n"/>
    </row>
    <row r="3698">
      <c r="E3698" s="13" t="n"/>
    </row>
    <row r="3699">
      <c r="E3699" s="13" t="n"/>
    </row>
    <row r="3700">
      <c r="E3700" s="13" t="n"/>
    </row>
    <row r="3701">
      <c r="E3701" s="13" t="n"/>
    </row>
    <row r="3702">
      <c r="E3702" s="13" t="n"/>
    </row>
    <row r="3703">
      <c r="E3703" s="13" t="n"/>
    </row>
    <row r="3704">
      <c r="E3704" s="13" t="n"/>
    </row>
    <row r="3705">
      <c r="E3705" s="13" t="n"/>
    </row>
    <row r="3706">
      <c r="E3706" s="13" t="n"/>
    </row>
    <row r="3707">
      <c r="E3707" s="13" t="n"/>
    </row>
    <row r="3708">
      <c r="E3708" s="13" t="n"/>
    </row>
    <row r="3709">
      <c r="E3709" s="13" t="n"/>
    </row>
    <row r="3710">
      <c r="E3710" s="13" t="n"/>
    </row>
    <row r="3711">
      <c r="E3711" s="13" t="n"/>
    </row>
    <row r="3712">
      <c r="E3712" s="13" t="n"/>
    </row>
    <row r="3713">
      <c r="E3713" s="13" t="n"/>
    </row>
    <row r="3714">
      <c r="E3714" s="13" t="n"/>
    </row>
    <row r="3715">
      <c r="E3715" s="13" t="n"/>
    </row>
    <row r="3716">
      <c r="E3716" s="13" t="n"/>
    </row>
    <row r="3717">
      <c r="E3717" s="13" t="n"/>
    </row>
    <row r="3718">
      <c r="E3718" s="13" t="n"/>
    </row>
    <row r="3719">
      <c r="E3719" s="13" t="n"/>
    </row>
    <row r="3720">
      <c r="E3720" s="13" t="n"/>
    </row>
    <row r="3721">
      <c r="E3721" s="13" t="n"/>
    </row>
    <row r="3722">
      <c r="E3722" s="13" t="n"/>
    </row>
    <row r="3723">
      <c r="E3723" s="13" t="n"/>
    </row>
    <row r="3724">
      <c r="E3724" s="13" t="n"/>
    </row>
    <row r="3725">
      <c r="E3725" s="13" t="n"/>
    </row>
    <row r="3726">
      <c r="E3726" s="13" t="n"/>
    </row>
    <row r="3727">
      <c r="E3727" s="13" t="n"/>
    </row>
    <row r="3728">
      <c r="E3728" s="13" t="n"/>
    </row>
    <row r="3729">
      <c r="E3729" s="13" t="n"/>
    </row>
    <row r="3730">
      <c r="E3730" s="13" t="n"/>
    </row>
    <row r="3731">
      <c r="E3731" s="13" t="n"/>
    </row>
    <row r="3732">
      <c r="E3732" s="13" t="n"/>
    </row>
    <row r="3733">
      <c r="E3733" s="13" t="n"/>
    </row>
    <row r="3734">
      <c r="E3734" s="13" t="n"/>
    </row>
    <row r="3735">
      <c r="E3735" s="13" t="n"/>
    </row>
    <row r="3736">
      <c r="E3736" s="13" t="n"/>
    </row>
    <row r="3737">
      <c r="E3737" s="13" t="n"/>
    </row>
    <row r="3738">
      <c r="E3738" s="13" t="n"/>
    </row>
    <row r="3739">
      <c r="E3739" s="13" t="n"/>
    </row>
    <row r="3740">
      <c r="E3740" s="13" t="n"/>
    </row>
    <row r="3741">
      <c r="E3741" s="13" t="n"/>
    </row>
    <row r="3742">
      <c r="E3742" s="13" t="n"/>
    </row>
    <row r="3743">
      <c r="E3743" s="13" t="n"/>
    </row>
    <row r="3744">
      <c r="E3744" s="13" t="n"/>
    </row>
    <row r="3745">
      <c r="E3745" s="13" t="n"/>
    </row>
    <row r="3746">
      <c r="E3746" s="13" t="n"/>
    </row>
    <row r="3747">
      <c r="E3747" s="13" t="n"/>
    </row>
    <row r="3748">
      <c r="E3748" s="13" t="n"/>
    </row>
    <row r="3749">
      <c r="E3749" s="13" t="n"/>
    </row>
    <row r="3750">
      <c r="E3750" s="13" t="n"/>
    </row>
    <row r="3751">
      <c r="E3751" s="13" t="n"/>
    </row>
    <row r="3752">
      <c r="E3752" s="13" t="n"/>
    </row>
    <row r="3753">
      <c r="E3753" s="13" t="n"/>
    </row>
    <row r="3754">
      <c r="E3754" s="13" t="n"/>
    </row>
    <row r="3755">
      <c r="E3755" s="13" t="n"/>
    </row>
    <row r="3756">
      <c r="E3756" s="13" t="n"/>
    </row>
    <row r="3757">
      <c r="E3757" s="13" t="n"/>
    </row>
    <row r="3758">
      <c r="E3758" s="13" t="n"/>
    </row>
    <row r="3759">
      <c r="E3759" s="13" t="n"/>
    </row>
    <row r="3760">
      <c r="E3760" s="13" t="n"/>
    </row>
    <row r="3761">
      <c r="E3761" s="13" t="n"/>
    </row>
    <row r="3762">
      <c r="E3762" s="13" t="n"/>
    </row>
    <row r="3763">
      <c r="E3763" s="13" t="n"/>
    </row>
    <row r="3764">
      <c r="E3764" s="13" t="n"/>
    </row>
    <row r="3765">
      <c r="E3765" s="13" t="n"/>
    </row>
    <row r="3766">
      <c r="E3766" s="13" t="n"/>
    </row>
    <row r="3767">
      <c r="E3767" s="13" t="n"/>
    </row>
    <row r="3768">
      <c r="E3768" s="13" t="n"/>
    </row>
    <row r="3769">
      <c r="E3769" s="13" t="n"/>
    </row>
    <row r="3770">
      <c r="E3770" s="13" t="n"/>
    </row>
    <row r="3771">
      <c r="E3771" s="13" t="n"/>
    </row>
    <row r="3772">
      <c r="E3772" s="13" t="n"/>
    </row>
    <row r="3773">
      <c r="E3773" s="13" t="n"/>
    </row>
    <row r="3774">
      <c r="E3774" s="13" t="n"/>
    </row>
    <row r="3775">
      <c r="E3775" s="13" t="n"/>
    </row>
    <row r="3776">
      <c r="E3776" s="13" t="n"/>
    </row>
    <row r="3777">
      <c r="E3777" s="13" t="n"/>
    </row>
    <row r="3778">
      <c r="E3778" s="13" t="n"/>
    </row>
    <row r="3779">
      <c r="E3779" s="13" t="n"/>
    </row>
    <row r="3780">
      <c r="E3780" s="13" t="n"/>
    </row>
    <row r="3781">
      <c r="E3781" s="13" t="n"/>
    </row>
    <row r="3782">
      <c r="E3782" s="13" t="n"/>
    </row>
    <row r="3783">
      <c r="E3783" s="13" t="n"/>
    </row>
    <row r="3784">
      <c r="E3784" s="13" t="n"/>
    </row>
    <row r="3785">
      <c r="E3785" s="13" t="n"/>
    </row>
    <row r="3786">
      <c r="E3786" s="13" t="n"/>
    </row>
    <row r="3787">
      <c r="E3787" s="13" t="n"/>
    </row>
    <row r="3788">
      <c r="E3788" s="13" t="n"/>
    </row>
    <row r="3789">
      <c r="E3789" s="13" t="n"/>
    </row>
    <row r="3790">
      <c r="E3790" s="13" t="n"/>
    </row>
    <row r="3791">
      <c r="E3791" s="13" t="n"/>
    </row>
    <row r="3792">
      <c r="E3792" s="13" t="n"/>
    </row>
    <row r="3793">
      <c r="E3793" s="13" t="n"/>
    </row>
    <row r="3794">
      <c r="E3794" s="13" t="n"/>
    </row>
    <row r="3795">
      <c r="E3795" s="13" t="n"/>
    </row>
    <row r="3796">
      <c r="E3796" s="13" t="n"/>
    </row>
    <row r="3797">
      <c r="E3797" s="13" t="n"/>
    </row>
    <row r="3798">
      <c r="E3798" s="13" t="n"/>
    </row>
    <row r="3799">
      <c r="E3799" s="13" t="n"/>
    </row>
    <row r="3800">
      <c r="E3800" s="13" t="n"/>
    </row>
    <row r="3801">
      <c r="E3801" s="13" t="n"/>
    </row>
    <row r="3802">
      <c r="E3802" s="13" t="n"/>
    </row>
    <row r="3803">
      <c r="E3803" s="13" t="n"/>
    </row>
    <row r="3804">
      <c r="E3804" s="13" t="n"/>
    </row>
    <row r="3805">
      <c r="E3805" s="13" t="n"/>
    </row>
    <row r="3806">
      <c r="E3806" s="13" t="n"/>
    </row>
    <row r="3807">
      <c r="E3807" s="13" t="n"/>
    </row>
    <row r="3808">
      <c r="E3808" s="13" t="n"/>
    </row>
    <row r="3809">
      <c r="E3809" s="13" t="n"/>
    </row>
    <row r="3810">
      <c r="E3810" s="13" t="n"/>
    </row>
    <row r="3811">
      <c r="E3811" s="13" t="n"/>
    </row>
    <row r="3812">
      <c r="E3812" s="13" t="n"/>
    </row>
    <row r="3813">
      <c r="E3813" s="13" t="n"/>
    </row>
    <row r="3814">
      <c r="E3814" s="13" t="n"/>
    </row>
    <row r="3815">
      <c r="E3815" s="13" t="n"/>
    </row>
    <row r="3816">
      <c r="E3816" s="13" t="n"/>
    </row>
    <row r="3817">
      <c r="E3817" s="13" t="n"/>
    </row>
    <row r="3818">
      <c r="E3818" s="13" t="n"/>
    </row>
    <row r="3819">
      <c r="E3819" s="13" t="n"/>
    </row>
    <row r="3820">
      <c r="E3820" s="13" t="n"/>
    </row>
    <row r="3821">
      <c r="E3821" s="13" t="n"/>
    </row>
    <row r="3822">
      <c r="E3822" s="13" t="n"/>
    </row>
    <row r="3823">
      <c r="E3823" s="13" t="n"/>
    </row>
    <row r="3824">
      <c r="E3824" s="13" t="n"/>
    </row>
    <row r="3825">
      <c r="E3825" s="13" t="n"/>
    </row>
    <row r="3826">
      <c r="E3826" s="13" t="n"/>
    </row>
    <row r="3827">
      <c r="E3827" s="13" t="n"/>
    </row>
    <row r="3828">
      <c r="E3828" s="13" t="n"/>
    </row>
    <row r="3829">
      <c r="E3829" s="13" t="n"/>
    </row>
    <row r="3830">
      <c r="E3830" s="13" t="n"/>
    </row>
    <row r="3831">
      <c r="E3831" s="13" t="n"/>
    </row>
    <row r="3832">
      <c r="E3832" s="13" t="n"/>
    </row>
    <row r="3833">
      <c r="E3833" s="13" t="n"/>
    </row>
    <row r="3834">
      <c r="E3834" s="13" t="n"/>
    </row>
    <row r="3835">
      <c r="E3835" s="13" t="n"/>
    </row>
    <row r="3836">
      <c r="E3836" s="13" t="n"/>
    </row>
    <row r="3837">
      <c r="E3837" s="13" t="n"/>
    </row>
    <row r="3838">
      <c r="E3838" s="13" t="n"/>
    </row>
    <row r="3839">
      <c r="E3839" s="13" t="n"/>
    </row>
    <row r="3840">
      <c r="E3840" s="13" t="n"/>
    </row>
    <row r="3841">
      <c r="E3841" s="13" t="n"/>
    </row>
    <row r="3842">
      <c r="E3842" s="13" t="n"/>
    </row>
    <row r="3843">
      <c r="E3843" s="13" t="n"/>
    </row>
    <row r="3844">
      <c r="E3844" s="13" t="n"/>
    </row>
    <row r="3845">
      <c r="E3845" s="13" t="n"/>
    </row>
    <row r="3846">
      <c r="E3846" s="13" t="n"/>
    </row>
    <row r="3847">
      <c r="E3847" s="13" t="n"/>
    </row>
    <row r="3848">
      <c r="E3848" s="13" t="n"/>
    </row>
    <row r="3849">
      <c r="E3849" s="13" t="n"/>
    </row>
    <row r="3850">
      <c r="E3850" s="13" t="n"/>
    </row>
    <row r="3851">
      <c r="E3851" s="13" t="n"/>
    </row>
    <row r="3852">
      <c r="E3852" s="13" t="n"/>
    </row>
    <row r="3853">
      <c r="E3853" s="13" t="n"/>
    </row>
    <row r="3854">
      <c r="E3854" s="13" t="n"/>
    </row>
    <row r="3855">
      <c r="E3855" s="13" t="n"/>
    </row>
    <row r="3856">
      <c r="E3856" s="13" t="n"/>
    </row>
    <row r="3857">
      <c r="E3857" s="13" t="n"/>
    </row>
    <row r="3858">
      <c r="E3858" s="13" t="n"/>
    </row>
    <row r="3859">
      <c r="E3859" s="13" t="n"/>
    </row>
    <row r="3860">
      <c r="E3860" s="13" t="n"/>
    </row>
    <row r="3861">
      <c r="E3861" s="13" t="n"/>
    </row>
    <row r="3862">
      <c r="E3862" s="13" t="n"/>
    </row>
    <row r="3863">
      <c r="E3863" s="13" t="n"/>
    </row>
    <row r="3864">
      <c r="E3864" s="13" t="n"/>
    </row>
    <row r="3865">
      <c r="E3865" s="13" t="n"/>
    </row>
    <row r="3866">
      <c r="E3866" s="13" t="n"/>
    </row>
    <row r="3867">
      <c r="E3867" s="13" t="n"/>
    </row>
    <row r="3868">
      <c r="E3868" s="13" t="n"/>
    </row>
    <row r="3869">
      <c r="E3869" s="13" t="n"/>
    </row>
    <row r="3870">
      <c r="E3870" s="13" t="n"/>
    </row>
    <row r="3871">
      <c r="E3871" s="13" t="n"/>
    </row>
    <row r="3872">
      <c r="E3872" s="13" t="n"/>
    </row>
    <row r="3873">
      <c r="E3873" s="13" t="n"/>
    </row>
    <row r="3874">
      <c r="E3874" s="13" t="n"/>
    </row>
    <row r="3875">
      <c r="E3875" s="13" t="n"/>
    </row>
    <row r="3876">
      <c r="E3876" s="13" t="n"/>
    </row>
    <row r="3877">
      <c r="E3877" s="13" t="n"/>
    </row>
    <row r="3878">
      <c r="E3878" s="13" t="n"/>
    </row>
    <row r="3879">
      <c r="E3879" s="13" t="n"/>
    </row>
    <row r="3880">
      <c r="E3880" s="13" t="n"/>
    </row>
    <row r="3881">
      <c r="E3881" s="13" t="n"/>
    </row>
    <row r="3882">
      <c r="E3882" s="13" t="n"/>
    </row>
    <row r="3883">
      <c r="E3883" s="13" t="n"/>
    </row>
    <row r="3884">
      <c r="E3884" s="13" t="n"/>
    </row>
    <row r="3885">
      <c r="E3885" s="13" t="n"/>
    </row>
    <row r="3886">
      <c r="E3886" s="13" t="n"/>
    </row>
    <row r="3887">
      <c r="E3887" s="13" t="n"/>
    </row>
    <row r="3888">
      <c r="E3888" s="13" t="n"/>
    </row>
    <row r="3889">
      <c r="E3889" s="13" t="n"/>
    </row>
    <row r="3890">
      <c r="E3890" s="13" t="n"/>
    </row>
    <row r="3891">
      <c r="E3891" s="13" t="n"/>
    </row>
    <row r="3892">
      <c r="E3892" s="13" t="n"/>
    </row>
    <row r="3893">
      <c r="E3893" s="13" t="n"/>
    </row>
    <row r="3894">
      <c r="E3894" s="13" t="n"/>
    </row>
    <row r="3895">
      <c r="E3895" s="13" t="n"/>
    </row>
    <row r="3896">
      <c r="E3896" s="13" t="n"/>
    </row>
    <row r="3897">
      <c r="E3897" s="13" t="n"/>
    </row>
    <row r="3898">
      <c r="E3898" s="13" t="n"/>
    </row>
    <row r="3899">
      <c r="E3899" s="13" t="n"/>
    </row>
    <row r="3900">
      <c r="E3900" s="13" t="n"/>
    </row>
    <row r="3901">
      <c r="E3901" s="13" t="n"/>
    </row>
    <row r="3902">
      <c r="E3902" s="13" t="n"/>
    </row>
    <row r="3903">
      <c r="E3903" s="13" t="n"/>
    </row>
    <row r="3904">
      <c r="E3904" s="13" t="n"/>
    </row>
    <row r="3905">
      <c r="E3905" s="13" t="n"/>
    </row>
    <row r="3906">
      <c r="E3906" s="13" t="n"/>
    </row>
    <row r="3907">
      <c r="E3907" s="13" t="n"/>
    </row>
    <row r="3908">
      <c r="E3908" s="13" t="n"/>
    </row>
    <row r="3909">
      <c r="E3909" s="13" t="n"/>
    </row>
    <row r="3910">
      <c r="E3910" s="13" t="n"/>
    </row>
    <row r="3911">
      <c r="E3911" s="13" t="n"/>
    </row>
    <row r="3912">
      <c r="E3912" s="13" t="n"/>
    </row>
    <row r="3913">
      <c r="E3913" s="13" t="n"/>
    </row>
    <row r="3914">
      <c r="E3914" s="13" t="n"/>
    </row>
    <row r="3915">
      <c r="E3915" s="13" t="n"/>
    </row>
    <row r="3916">
      <c r="E3916" s="13" t="n"/>
    </row>
    <row r="3917">
      <c r="E3917" s="13" t="n"/>
    </row>
    <row r="3918">
      <c r="E3918" s="13" t="n"/>
    </row>
    <row r="3919">
      <c r="E3919" s="13" t="n"/>
    </row>
    <row r="3920">
      <c r="E3920" s="13" t="n"/>
    </row>
    <row r="3921">
      <c r="E3921" s="13" t="n"/>
    </row>
    <row r="3922">
      <c r="E3922" s="13" t="n"/>
    </row>
    <row r="3923">
      <c r="E3923" s="13" t="n"/>
    </row>
    <row r="3924">
      <c r="E3924" s="13" t="n"/>
    </row>
    <row r="3925">
      <c r="E3925" s="13" t="n"/>
    </row>
    <row r="3926">
      <c r="E3926" s="13" t="n"/>
    </row>
    <row r="3927">
      <c r="E3927" s="13" t="n"/>
    </row>
    <row r="3928">
      <c r="E3928" s="13" t="n"/>
    </row>
    <row r="3929">
      <c r="E3929" s="13" t="n"/>
    </row>
    <row r="3930">
      <c r="E3930" s="13" t="n"/>
    </row>
    <row r="3931">
      <c r="E3931" s="13" t="n"/>
    </row>
    <row r="3932">
      <c r="E3932" s="13" t="n"/>
    </row>
    <row r="3933">
      <c r="E3933" s="13" t="n"/>
    </row>
    <row r="3934">
      <c r="E3934" s="13" t="n"/>
    </row>
    <row r="3935">
      <c r="E3935" s="13" t="n"/>
    </row>
    <row r="3936">
      <c r="E3936" s="13" t="n"/>
    </row>
    <row r="3937">
      <c r="E3937" s="13" t="n"/>
    </row>
    <row r="3938">
      <c r="E3938" s="13" t="n"/>
    </row>
    <row r="3939">
      <c r="E3939" s="13" t="n"/>
    </row>
    <row r="3940">
      <c r="E3940" s="13" t="n"/>
    </row>
    <row r="3941">
      <c r="E3941" s="13" t="n"/>
    </row>
    <row r="3942">
      <c r="E3942" s="13" t="n"/>
    </row>
    <row r="3943">
      <c r="E3943" s="13" t="n"/>
    </row>
    <row r="3944">
      <c r="E3944" s="13" t="n"/>
    </row>
    <row r="3945">
      <c r="E3945" s="13" t="n"/>
    </row>
    <row r="3946">
      <c r="E3946" s="13" t="n"/>
    </row>
    <row r="3947">
      <c r="E3947" s="13" t="n"/>
    </row>
    <row r="3948">
      <c r="E3948" s="13" t="n"/>
    </row>
    <row r="3949">
      <c r="E3949" s="13" t="n"/>
    </row>
    <row r="3950">
      <c r="E3950" s="13" t="n"/>
    </row>
    <row r="3951">
      <c r="E3951" s="13" t="n"/>
    </row>
    <row r="3952">
      <c r="E3952" s="13" t="n"/>
    </row>
    <row r="3953">
      <c r="E3953" s="13" t="n"/>
    </row>
    <row r="3954">
      <c r="E3954" s="13" t="n"/>
    </row>
    <row r="3955">
      <c r="E3955" s="13" t="n"/>
    </row>
    <row r="3956">
      <c r="E3956" s="13" t="n"/>
    </row>
    <row r="3957">
      <c r="E3957" s="13" t="n"/>
    </row>
    <row r="3958">
      <c r="E3958" s="13" t="n"/>
    </row>
    <row r="3959">
      <c r="E3959" s="13" t="n"/>
    </row>
    <row r="3960">
      <c r="E3960" s="13" t="n"/>
    </row>
    <row r="3961">
      <c r="E3961" s="13" t="n"/>
    </row>
    <row r="3962">
      <c r="E3962" s="13" t="n"/>
    </row>
    <row r="3963">
      <c r="E3963" s="13" t="n"/>
    </row>
    <row r="3964">
      <c r="E3964" s="13" t="n"/>
    </row>
    <row r="3965">
      <c r="E3965" s="13" t="n"/>
    </row>
    <row r="3966">
      <c r="E3966" s="13" t="n"/>
    </row>
    <row r="3967">
      <c r="E3967" s="13" t="n"/>
    </row>
    <row r="3968">
      <c r="E3968" s="13" t="n"/>
    </row>
    <row r="3969">
      <c r="E3969" s="13" t="n"/>
    </row>
    <row r="3970">
      <c r="E3970" s="13" t="n"/>
    </row>
    <row r="3971">
      <c r="E3971" s="13" t="n"/>
    </row>
    <row r="3972">
      <c r="E3972" s="13" t="n"/>
    </row>
    <row r="3973">
      <c r="E3973" s="13" t="n"/>
    </row>
    <row r="3974">
      <c r="E3974" s="13" t="n"/>
    </row>
    <row r="3975">
      <c r="E3975" s="13" t="n"/>
    </row>
    <row r="3976">
      <c r="E3976" s="13" t="n"/>
    </row>
    <row r="3977">
      <c r="E3977" s="13" t="n"/>
    </row>
    <row r="3978">
      <c r="E3978" s="13" t="n"/>
    </row>
    <row r="3979">
      <c r="E3979" s="13" t="n"/>
    </row>
    <row r="3980">
      <c r="E3980" s="13" t="n"/>
    </row>
    <row r="3981">
      <c r="E3981" s="13" t="n"/>
    </row>
    <row r="3982">
      <c r="E3982" s="13" t="n"/>
    </row>
    <row r="3983">
      <c r="E3983" s="13" t="n"/>
    </row>
    <row r="3984">
      <c r="E3984" s="13" t="n"/>
    </row>
    <row r="3985">
      <c r="E3985" s="13" t="n"/>
    </row>
    <row r="3986">
      <c r="E3986" s="13" t="n"/>
    </row>
    <row r="3987">
      <c r="E3987" s="13" t="n"/>
    </row>
    <row r="3988">
      <c r="E3988" s="13" t="n"/>
    </row>
    <row r="3989">
      <c r="E3989" s="13" t="n"/>
    </row>
    <row r="3990">
      <c r="E3990" s="13" t="n"/>
    </row>
    <row r="3991">
      <c r="E3991" s="13" t="n"/>
    </row>
    <row r="3992">
      <c r="E3992" s="13" t="n"/>
    </row>
    <row r="3993">
      <c r="E3993" s="13" t="n"/>
    </row>
    <row r="3994">
      <c r="E3994" s="13" t="n"/>
    </row>
    <row r="3995">
      <c r="E3995" s="13" t="n"/>
    </row>
    <row r="3996">
      <c r="E3996" s="13" t="n"/>
    </row>
    <row r="3997">
      <c r="E3997" s="13" t="n"/>
    </row>
    <row r="3998">
      <c r="E3998" s="13" t="n"/>
    </row>
    <row r="3999">
      <c r="E3999" s="13" t="n"/>
    </row>
    <row r="4000">
      <c r="E4000" s="13" t="n"/>
    </row>
    <row r="4001">
      <c r="E4001" s="13" t="n"/>
    </row>
    <row r="4002">
      <c r="E4002" s="13" t="n"/>
    </row>
    <row r="4003">
      <c r="E4003" s="13" t="n"/>
    </row>
    <row r="4004">
      <c r="E4004" s="13" t="n"/>
    </row>
    <row r="4005">
      <c r="E4005" s="13" t="n"/>
    </row>
    <row r="4006">
      <c r="E4006" s="13" t="n"/>
    </row>
    <row r="4007">
      <c r="E4007" s="13" t="n"/>
    </row>
    <row r="4008">
      <c r="E4008" s="13" t="n"/>
    </row>
    <row r="4009">
      <c r="E4009" s="13" t="n"/>
    </row>
    <row r="4010">
      <c r="E4010" s="13" t="n"/>
    </row>
    <row r="4011">
      <c r="E4011" s="13" t="n"/>
    </row>
    <row r="4012">
      <c r="E4012" s="13" t="n"/>
    </row>
    <row r="4013">
      <c r="E4013" s="13" t="n"/>
    </row>
    <row r="4014">
      <c r="E4014" s="13" t="n"/>
    </row>
    <row r="4015">
      <c r="E4015" s="13" t="n"/>
    </row>
    <row r="4016">
      <c r="E4016" s="13" t="n"/>
    </row>
    <row r="4017">
      <c r="E4017" s="13" t="n"/>
    </row>
    <row r="4018">
      <c r="E4018" s="13" t="n"/>
    </row>
    <row r="4019">
      <c r="E4019" s="13" t="n"/>
    </row>
    <row r="4020">
      <c r="E4020" s="13" t="n"/>
    </row>
    <row r="4021">
      <c r="E4021" s="13" t="n"/>
    </row>
    <row r="4022">
      <c r="E4022" s="13" t="n"/>
    </row>
    <row r="4023">
      <c r="E4023" s="13" t="n"/>
    </row>
    <row r="4024">
      <c r="E4024" s="13" t="n"/>
    </row>
    <row r="4025">
      <c r="E4025" s="13" t="n"/>
    </row>
    <row r="4026">
      <c r="E4026" s="13" t="n"/>
    </row>
    <row r="4027">
      <c r="E4027" s="13" t="n"/>
    </row>
    <row r="4028">
      <c r="E4028" s="13" t="n"/>
    </row>
    <row r="4029">
      <c r="E4029" s="13" t="n"/>
    </row>
    <row r="4030">
      <c r="E4030" s="13" t="n"/>
    </row>
    <row r="4031">
      <c r="E4031" s="13" t="n"/>
    </row>
    <row r="4032">
      <c r="E4032" s="13" t="n"/>
    </row>
    <row r="4033">
      <c r="E4033" s="13" t="n"/>
    </row>
    <row r="4034">
      <c r="E4034" s="13" t="n"/>
    </row>
    <row r="4035">
      <c r="E4035" s="13" t="n"/>
    </row>
    <row r="4036">
      <c r="E4036" s="13" t="n"/>
    </row>
    <row r="4037">
      <c r="E4037" s="13" t="n"/>
    </row>
    <row r="4038">
      <c r="E4038" s="13" t="n"/>
    </row>
    <row r="4039">
      <c r="E4039" s="13" t="n"/>
    </row>
    <row r="4040">
      <c r="E4040" s="13" t="n"/>
    </row>
    <row r="4041">
      <c r="E4041" s="13" t="n"/>
    </row>
    <row r="4042">
      <c r="E4042" s="13" t="n"/>
    </row>
    <row r="4043">
      <c r="E4043" s="13" t="n"/>
    </row>
    <row r="4044">
      <c r="E4044" s="13" t="n"/>
    </row>
    <row r="4045">
      <c r="E4045" s="13" t="n"/>
    </row>
    <row r="4046">
      <c r="E4046" s="13" t="n"/>
    </row>
    <row r="4047">
      <c r="E4047" s="13" t="n"/>
    </row>
    <row r="4048">
      <c r="E4048" s="13" t="n"/>
    </row>
    <row r="4049">
      <c r="E4049" s="13" t="n"/>
    </row>
    <row r="4050">
      <c r="E4050" s="13" t="n"/>
    </row>
    <row r="4051">
      <c r="E4051" s="13" t="n"/>
    </row>
    <row r="4052">
      <c r="E4052" s="13" t="n"/>
    </row>
    <row r="4053">
      <c r="E4053" s="13" t="n"/>
    </row>
    <row r="4054">
      <c r="E4054" s="13" t="n"/>
    </row>
    <row r="4055">
      <c r="E4055" s="13" t="n"/>
    </row>
    <row r="4056">
      <c r="E4056" s="13" t="n"/>
    </row>
    <row r="4057">
      <c r="E4057" s="13" t="n"/>
    </row>
    <row r="4058">
      <c r="E4058" s="13" t="n"/>
    </row>
    <row r="4059">
      <c r="E4059" s="13" t="n"/>
    </row>
    <row r="4060">
      <c r="E4060" s="13" t="n"/>
    </row>
    <row r="4061">
      <c r="E4061" s="13" t="n"/>
    </row>
    <row r="4062">
      <c r="E4062" s="13" t="n"/>
    </row>
    <row r="4063">
      <c r="E4063" s="13" t="n"/>
    </row>
    <row r="4064">
      <c r="E4064" s="13" t="n"/>
    </row>
    <row r="4065">
      <c r="E4065" s="13" t="n"/>
    </row>
    <row r="4066">
      <c r="E4066" s="13" t="n"/>
    </row>
    <row r="4067">
      <c r="E4067" s="13" t="n"/>
    </row>
    <row r="4068">
      <c r="E4068" s="13" t="n"/>
    </row>
    <row r="4069">
      <c r="E4069" s="13" t="n"/>
    </row>
    <row r="4070">
      <c r="E4070" s="13" t="n"/>
    </row>
    <row r="4071">
      <c r="E4071" s="13" t="n"/>
    </row>
    <row r="4072">
      <c r="E4072" s="13" t="n"/>
    </row>
    <row r="4073">
      <c r="E4073" s="13" t="n"/>
    </row>
    <row r="4074">
      <c r="E4074" s="13" t="n"/>
    </row>
    <row r="4075">
      <c r="E4075" s="13" t="n"/>
    </row>
    <row r="4076">
      <c r="E4076" s="13" t="n"/>
    </row>
    <row r="4077">
      <c r="E4077" s="13" t="n"/>
    </row>
    <row r="4078">
      <c r="E4078" s="13" t="n"/>
    </row>
    <row r="4079">
      <c r="E4079" s="13" t="n"/>
    </row>
    <row r="4080">
      <c r="E4080" s="13" t="n"/>
    </row>
    <row r="4081">
      <c r="E4081" s="13" t="n"/>
    </row>
    <row r="4082">
      <c r="E4082" s="13" t="n"/>
    </row>
    <row r="4083">
      <c r="E4083" s="13" t="n"/>
    </row>
    <row r="4084">
      <c r="E4084" s="13" t="n"/>
    </row>
    <row r="4085">
      <c r="E4085" s="13" t="n"/>
    </row>
    <row r="4086">
      <c r="E4086" s="13" t="n"/>
    </row>
    <row r="4087">
      <c r="E4087" s="13" t="n"/>
    </row>
    <row r="4088">
      <c r="E4088" s="13" t="n"/>
    </row>
    <row r="4089">
      <c r="E4089" s="13" t="n"/>
    </row>
    <row r="4090">
      <c r="E4090" s="13" t="n"/>
    </row>
    <row r="4091">
      <c r="E4091" s="13" t="n"/>
    </row>
    <row r="4092">
      <c r="E4092" s="13" t="n"/>
    </row>
    <row r="4093">
      <c r="E4093" s="13" t="n"/>
    </row>
    <row r="4094">
      <c r="E4094" s="13" t="n"/>
    </row>
    <row r="4095">
      <c r="E4095" s="13" t="n"/>
    </row>
    <row r="4096">
      <c r="E4096" s="13" t="n"/>
    </row>
    <row r="4097">
      <c r="E4097" s="13" t="n"/>
    </row>
    <row r="4098">
      <c r="E4098" s="13" t="n"/>
    </row>
    <row r="4099">
      <c r="E4099" s="13" t="n"/>
    </row>
    <row r="4100">
      <c r="E4100" s="13" t="n"/>
    </row>
    <row r="4101">
      <c r="E4101" s="13" t="n"/>
    </row>
    <row r="4102">
      <c r="E4102" s="13" t="n"/>
    </row>
    <row r="4103">
      <c r="E4103" s="13" t="n"/>
    </row>
    <row r="4104">
      <c r="E4104" s="13" t="n"/>
    </row>
    <row r="4105">
      <c r="E4105" s="13" t="n"/>
    </row>
    <row r="4106">
      <c r="E4106" s="13" t="n"/>
    </row>
    <row r="4107">
      <c r="E4107" s="13" t="n"/>
    </row>
    <row r="4108">
      <c r="E4108" s="13" t="n"/>
    </row>
    <row r="4109">
      <c r="E4109" s="13" t="n"/>
    </row>
    <row r="4110">
      <c r="E4110" s="13" t="n"/>
    </row>
    <row r="4111">
      <c r="E4111" s="13" t="n"/>
    </row>
    <row r="4112">
      <c r="E4112" s="13" t="n"/>
    </row>
    <row r="4113">
      <c r="E4113" s="13" t="n"/>
    </row>
    <row r="4114">
      <c r="E4114" s="13" t="n"/>
    </row>
    <row r="4115">
      <c r="E4115" s="13" t="n"/>
    </row>
    <row r="4116">
      <c r="E4116" s="13" t="n"/>
    </row>
    <row r="4117">
      <c r="E4117" s="13" t="n"/>
    </row>
    <row r="4118">
      <c r="E4118" s="13" t="n"/>
    </row>
    <row r="4119">
      <c r="E4119" s="13" t="n"/>
    </row>
    <row r="4120">
      <c r="E4120" s="13" t="n"/>
    </row>
    <row r="4121">
      <c r="E4121" s="13" t="n"/>
    </row>
    <row r="4122">
      <c r="E4122" s="13" t="n"/>
    </row>
    <row r="4123">
      <c r="E4123" s="13" t="n"/>
    </row>
    <row r="4124">
      <c r="E4124" s="13" t="n"/>
    </row>
    <row r="4125">
      <c r="E4125" s="13" t="n"/>
    </row>
    <row r="4126">
      <c r="E4126" s="13" t="n"/>
    </row>
    <row r="4127">
      <c r="E4127" s="13" t="n"/>
    </row>
    <row r="4128">
      <c r="E4128" s="13" t="n"/>
    </row>
    <row r="4129">
      <c r="E4129" s="13" t="n"/>
    </row>
    <row r="4130">
      <c r="E4130" s="13" t="n"/>
    </row>
    <row r="4131">
      <c r="E4131" s="13" t="n"/>
    </row>
    <row r="4132">
      <c r="E4132" s="13" t="n"/>
    </row>
    <row r="4133">
      <c r="E4133" s="13" t="n"/>
    </row>
    <row r="4134">
      <c r="E4134" s="13" t="n"/>
    </row>
    <row r="4135">
      <c r="E4135" s="13" t="n"/>
    </row>
    <row r="4136">
      <c r="E4136" s="13" t="n"/>
    </row>
    <row r="4137">
      <c r="E4137" s="13" t="n"/>
    </row>
    <row r="4138">
      <c r="E4138" s="13" t="n"/>
    </row>
    <row r="4139">
      <c r="E4139" s="13" t="n"/>
    </row>
    <row r="4140">
      <c r="E4140" s="13" t="n"/>
    </row>
    <row r="4141">
      <c r="E4141" s="13" t="n"/>
    </row>
    <row r="4142">
      <c r="E4142" s="13" t="n"/>
    </row>
    <row r="4143">
      <c r="E4143" s="13" t="n"/>
    </row>
    <row r="4144">
      <c r="E4144" s="13" t="n"/>
    </row>
    <row r="4145">
      <c r="E4145" s="13" t="n"/>
    </row>
    <row r="4146">
      <c r="E4146" s="13" t="n"/>
    </row>
    <row r="4147">
      <c r="E4147" s="13" t="n"/>
    </row>
    <row r="4148">
      <c r="E4148" s="13" t="n"/>
    </row>
    <row r="4149">
      <c r="E4149" s="13" t="n"/>
    </row>
    <row r="4150">
      <c r="E4150" s="13" t="n"/>
    </row>
    <row r="4151">
      <c r="E4151" s="13" t="n"/>
    </row>
    <row r="4152">
      <c r="E4152" s="13" t="n"/>
    </row>
    <row r="4153">
      <c r="E4153" s="13" t="n"/>
    </row>
    <row r="4154">
      <c r="E4154" s="13" t="n"/>
    </row>
    <row r="4155">
      <c r="E4155" s="13" t="n"/>
    </row>
    <row r="4156">
      <c r="E4156" s="13" t="n"/>
    </row>
    <row r="4157">
      <c r="E4157" s="13" t="n"/>
    </row>
    <row r="4158">
      <c r="E4158" s="13" t="n"/>
    </row>
    <row r="4159">
      <c r="E4159" s="13" t="n"/>
    </row>
    <row r="4160">
      <c r="E4160" s="13" t="n"/>
    </row>
    <row r="4161">
      <c r="E4161" s="13" t="n"/>
    </row>
    <row r="4162">
      <c r="E4162" s="13" t="n"/>
    </row>
    <row r="4163">
      <c r="E4163" s="13" t="n"/>
    </row>
    <row r="4164">
      <c r="E4164" s="13" t="n"/>
    </row>
    <row r="4165">
      <c r="E4165" s="13" t="n"/>
    </row>
    <row r="4166">
      <c r="E4166" s="13" t="n"/>
    </row>
    <row r="4167">
      <c r="E4167" s="13" t="n"/>
    </row>
    <row r="4168">
      <c r="E4168" s="13" t="n"/>
    </row>
    <row r="4169">
      <c r="E4169" s="13" t="n"/>
    </row>
    <row r="4170">
      <c r="E4170" s="13" t="n"/>
    </row>
    <row r="4171">
      <c r="E4171" s="13" t="n"/>
    </row>
    <row r="4172">
      <c r="E4172" s="13" t="n"/>
    </row>
    <row r="4173">
      <c r="E4173" s="13" t="n"/>
    </row>
    <row r="4174">
      <c r="E4174" s="13" t="n"/>
    </row>
    <row r="4175">
      <c r="E4175" s="13" t="n"/>
    </row>
    <row r="4176">
      <c r="E4176" s="13" t="n"/>
    </row>
    <row r="4177">
      <c r="E4177" s="13" t="n"/>
    </row>
    <row r="4178">
      <c r="E4178" s="13" t="n"/>
    </row>
    <row r="4179">
      <c r="E4179" s="13" t="n"/>
    </row>
    <row r="4180">
      <c r="E4180" s="13" t="n"/>
    </row>
    <row r="4181">
      <c r="E4181" s="13" t="n"/>
    </row>
    <row r="4182">
      <c r="E4182" s="13" t="n"/>
    </row>
    <row r="4183">
      <c r="E4183" s="13" t="n"/>
    </row>
    <row r="4184">
      <c r="E4184" s="13" t="n"/>
    </row>
    <row r="4185">
      <c r="E4185" s="13" t="n"/>
    </row>
    <row r="4186">
      <c r="E4186" s="13" t="n"/>
    </row>
    <row r="4187">
      <c r="E4187" s="13" t="n"/>
    </row>
    <row r="4188">
      <c r="E4188" s="13" t="n"/>
    </row>
    <row r="4189">
      <c r="E4189" s="13" t="n"/>
    </row>
    <row r="4190">
      <c r="E4190" s="13" t="n"/>
    </row>
    <row r="4191">
      <c r="E4191" s="13" t="n"/>
    </row>
    <row r="4192">
      <c r="E4192" s="13" t="n"/>
    </row>
    <row r="4193">
      <c r="E4193" s="13" t="n"/>
    </row>
    <row r="4194">
      <c r="E4194" s="13" t="n"/>
    </row>
    <row r="4195">
      <c r="E4195" s="13" t="n"/>
    </row>
    <row r="4196">
      <c r="E4196" s="13" t="n"/>
    </row>
    <row r="4197">
      <c r="E4197" s="13" t="n"/>
    </row>
    <row r="4198">
      <c r="E4198" s="13" t="n"/>
    </row>
    <row r="4199">
      <c r="E4199" s="13" t="n"/>
    </row>
    <row r="4200">
      <c r="E4200" s="13" t="n"/>
    </row>
    <row r="4201">
      <c r="E4201" s="13" t="n"/>
    </row>
    <row r="4202">
      <c r="E4202" s="13" t="n"/>
    </row>
    <row r="4203">
      <c r="E4203" s="13" t="n"/>
    </row>
    <row r="4204">
      <c r="E4204" s="13" t="n"/>
    </row>
    <row r="4205">
      <c r="E4205" s="13" t="n"/>
    </row>
    <row r="4206">
      <c r="E4206" s="13" t="n"/>
    </row>
    <row r="4207">
      <c r="E4207" s="13" t="n"/>
    </row>
    <row r="4208">
      <c r="E4208" s="13" t="n"/>
    </row>
    <row r="4209">
      <c r="E4209" s="13" t="n"/>
    </row>
    <row r="4210">
      <c r="E4210" s="13" t="n"/>
    </row>
    <row r="4211">
      <c r="E4211" s="13" t="n"/>
    </row>
    <row r="4212">
      <c r="E4212" s="13" t="n"/>
    </row>
    <row r="4213">
      <c r="E4213" s="13" t="n"/>
    </row>
    <row r="4214">
      <c r="E4214" s="13" t="n"/>
    </row>
    <row r="4215">
      <c r="E4215" s="13" t="n"/>
    </row>
    <row r="4216">
      <c r="E4216" s="13" t="n"/>
    </row>
    <row r="4217">
      <c r="E4217" s="13" t="n"/>
    </row>
    <row r="4218">
      <c r="E4218" s="13" t="n"/>
    </row>
    <row r="4219">
      <c r="E4219" s="13" t="n"/>
    </row>
    <row r="4220">
      <c r="E4220" s="13" t="n"/>
    </row>
    <row r="4221">
      <c r="E4221" s="13" t="n"/>
    </row>
    <row r="4222">
      <c r="E4222" s="13" t="n"/>
    </row>
    <row r="4223">
      <c r="E4223" s="13" t="n"/>
    </row>
    <row r="4224">
      <c r="E4224" s="13" t="n"/>
    </row>
    <row r="4225">
      <c r="E4225" s="13" t="n"/>
    </row>
    <row r="4226">
      <c r="E4226" s="13" t="n"/>
    </row>
    <row r="4227">
      <c r="E4227" s="13" t="n"/>
    </row>
    <row r="4228">
      <c r="E4228" s="13" t="n"/>
    </row>
    <row r="4229">
      <c r="E4229" s="13" t="n"/>
    </row>
    <row r="4230">
      <c r="E4230" s="13" t="n"/>
    </row>
    <row r="4231">
      <c r="E4231" s="13" t="n"/>
    </row>
    <row r="4232">
      <c r="E4232" s="13" t="n"/>
    </row>
    <row r="4233">
      <c r="E4233" s="13" t="n"/>
    </row>
    <row r="4234">
      <c r="E4234" s="13" t="n"/>
    </row>
    <row r="4235">
      <c r="E4235" s="13" t="n"/>
    </row>
    <row r="4236">
      <c r="E4236" s="13" t="n"/>
    </row>
    <row r="4237">
      <c r="E4237" s="13" t="n"/>
    </row>
    <row r="4238">
      <c r="E4238" s="13" t="n"/>
    </row>
    <row r="4239">
      <c r="E4239" s="13" t="n"/>
    </row>
    <row r="4240">
      <c r="E4240" s="13" t="n"/>
    </row>
    <row r="4241">
      <c r="E4241" s="13" t="n"/>
    </row>
    <row r="4242">
      <c r="E4242" s="13" t="n"/>
    </row>
    <row r="4243">
      <c r="E4243" s="13" t="n"/>
    </row>
    <row r="4244">
      <c r="E4244" s="13" t="n"/>
    </row>
    <row r="4245">
      <c r="E4245" s="13" t="n"/>
    </row>
    <row r="4246">
      <c r="E4246" s="13" t="n"/>
    </row>
    <row r="4247">
      <c r="E4247" s="13" t="n"/>
    </row>
    <row r="4248">
      <c r="E4248" s="13" t="n"/>
    </row>
    <row r="4249">
      <c r="E4249" s="13" t="n"/>
    </row>
    <row r="4250">
      <c r="E4250" s="13" t="n"/>
    </row>
    <row r="4251">
      <c r="E4251" s="13" t="n"/>
    </row>
    <row r="4252">
      <c r="E4252" s="13" t="n"/>
    </row>
    <row r="4253">
      <c r="E4253" s="13" t="n"/>
    </row>
    <row r="4254">
      <c r="E4254" s="13" t="n"/>
    </row>
    <row r="4255">
      <c r="E4255" s="13" t="n"/>
    </row>
    <row r="4256">
      <c r="E4256" s="13" t="n"/>
    </row>
    <row r="4257">
      <c r="E4257" s="13" t="n"/>
    </row>
    <row r="4258">
      <c r="E4258" s="13" t="n"/>
    </row>
    <row r="4259">
      <c r="E4259" s="13" t="n"/>
    </row>
    <row r="4260">
      <c r="E4260" s="13" t="n"/>
    </row>
    <row r="4261">
      <c r="E4261" s="13" t="n"/>
    </row>
    <row r="4262">
      <c r="E4262" s="13" t="n"/>
    </row>
    <row r="4263">
      <c r="E4263" s="13" t="n"/>
    </row>
    <row r="4264">
      <c r="E4264" s="13" t="n"/>
    </row>
    <row r="4265">
      <c r="E4265" s="13" t="n"/>
    </row>
    <row r="4266">
      <c r="E4266" s="13" t="n"/>
    </row>
    <row r="4267">
      <c r="E4267" s="13" t="n"/>
    </row>
    <row r="4268">
      <c r="E4268" s="13" t="n"/>
    </row>
    <row r="4269">
      <c r="E4269" s="13" t="n"/>
    </row>
    <row r="4270">
      <c r="E4270" s="13" t="n"/>
    </row>
    <row r="4271">
      <c r="E4271" s="13" t="n"/>
    </row>
    <row r="4272">
      <c r="E4272" s="13" t="n"/>
    </row>
    <row r="4273">
      <c r="E4273" s="13" t="n"/>
    </row>
    <row r="4274">
      <c r="E4274" s="13" t="n"/>
    </row>
    <row r="4275">
      <c r="E4275" s="13" t="n"/>
    </row>
    <row r="4276">
      <c r="E4276" s="13" t="n"/>
    </row>
    <row r="4277">
      <c r="E4277" s="13" t="n"/>
    </row>
    <row r="4278">
      <c r="E4278" s="13" t="n"/>
    </row>
    <row r="4279">
      <c r="E4279" s="13" t="n"/>
    </row>
    <row r="4280">
      <c r="E4280" s="13" t="n"/>
    </row>
    <row r="4281">
      <c r="E4281" s="13" t="n"/>
    </row>
    <row r="4282">
      <c r="E4282" s="13" t="n"/>
    </row>
    <row r="4283">
      <c r="E4283" s="13" t="n"/>
    </row>
    <row r="4284">
      <c r="E4284" s="13" t="n"/>
    </row>
    <row r="4285">
      <c r="E4285" s="13" t="n"/>
    </row>
    <row r="4286">
      <c r="E4286" s="13" t="n"/>
    </row>
    <row r="4287">
      <c r="E4287" s="13" t="n"/>
    </row>
    <row r="4288">
      <c r="E4288" s="13" t="n"/>
    </row>
    <row r="4289">
      <c r="E4289" s="13" t="n"/>
    </row>
    <row r="4290">
      <c r="E4290" s="13" t="n"/>
    </row>
    <row r="4291">
      <c r="E4291" s="13" t="n"/>
    </row>
    <row r="4292">
      <c r="E4292" s="13" t="n"/>
    </row>
    <row r="4293">
      <c r="E4293" s="13" t="n"/>
    </row>
    <row r="4294">
      <c r="E4294" s="13" t="n"/>
    </row>
    <row r="4295">
      <c r="E4295" s="13" t="n"/>
    </row>
    <row r="4296">
      <c r="E4296" s="13" t="n"/>
    </row>
    <row r="4297">
      <c r="E4297" s="13" t="n"/>
    </row>
    <row r="4298">
      <c r="E4298" s="13" t="n"/>
    </row>
    <row r="4299">
      <c r="E4299" s="13" t="n"/>
    </row>
    <row r="4300">
      <c r="E4300" s="13" t="n"/>
    </row>
    <row r="4301">
      <c r="E4301" s="13" t="n"/>
    </row>
    <row r="4302">
      <c r="E4302" s="13" t="n"/>
    </row>
    <row r="4303">
      <c r="E4303" s="13" t="n"/>
    </row>
    <row r="4304">
      <c r="E4304" s="13" t="n"/>
    </row>
    <row r="4305">
      <c r="E4305" s="13" t="n"/>
    </row>
    <row r="4306">
      <c r="E4306" s="13" t="n"/>
    </row>
    <row r="4307">
      <c r="E4307" s="13" t="n"/>
    </row>
    <row r="4308">
      <c r="E4308" s="13" t="n"/>
    </row>
    <row r="4309">
      <c r="E4309" s="13" t="n"/>
    </row>
    <row r="4310">
      <c r="E4310" s="13" t="n"/>
    </row>
    <row r="4311">
      <c r="E4311" s="13" t="n"/>
    </row>
    <row r="4312">
      <c r="E4312" s="13" t="n"/>
    </row>
    <row r="4313">
      <c r="E4313" s="13" t="n"/>
    </row>
    <row r="4314">
      <c r="E4314" s="13" t="n"/>
    </row>
    <row r="4315">
      <c r="E4315" s="13" t="n"/>
    </row>
    <row r="4316">
      <c r="E4316" s="13" t="n"/>
    </row>
    <row r="4317">
      <c r="E4317" s="13" t="n"/>
    </row>
    <row r="4318">
      <c r="E4318" s="13" t="n"/>
    </row>
    <row r="4319">
      <c r="E4319" s="13" t="n"/>
    </row>
    <row r="4320">
      <c r="E4320" s="13" t="n"/>
    </row>
    <row r="4321">
      <c r="E4321" s="13" t="n"/>
    </row>
    <row r="4322">
      <c r="E4322" s="13" t="n"/>
    </row>
    <row r="4323">
      <c r="E4323" s="13" t="n"/>
    </row>
    <row r="4324">
      <c r="E4324" s="13" t="n"/>
    </row>
    <row r="4325">
      <c r="E4325" s="13" t="n"/>
    </row>
    <row r="4326">
      <c r="E4326" s="13" t="n"/>
    </row>
    <row r="4327">
      <c r="E4327" s="13" t="n"/>
    </row>
    <row r="4328">
      <c r="E4328" s="13" t="n"/>
    </row>
    <row r="4329">
      <c r="E4329" s="13" t="n"/>
    </row>
    <row r="4330">
      <c r="E4330" s="13" t="n"/>
    </row>
    <row r="4331">
      <c r="E4331" s="13" t="n"/>
    </row>
    <row r="4332">
      <c r="E4332" s="13" t="n"/>
    </row>
    <row r="4333">
      <c r="E4333" s="13" t="n"/>
    </row>
    <row r="4334">
      <c r="E4334" s="13" t="n"/>
    </row>
    <row r="4335">
      <c r="E4335" s="13" t="n"/>
    </row>
    <row r="4336">
      <c r="E4336" s="13" t="n"/>
    </row>
    <row r="4337">
      <c r="E4337" s="13" t="n"/>
    </row>
    <row r="4338">
      <c r="E4338" s="13" t="n"/>
    </row>
    <row r="4339">
      <c r="E4339" s="13" t="n"/>
    </row>
    <row r="4340">
      <c r="E4340" s="13" t="n"/>
    </row>
    <row r="4341">
      <c r="E4341" s="13" t="n"/>
    </row>
    <row r="4342">
      <c r="E4342" s="13" t="n"/>
    </row>
    <row r="4343">
      <c r="E4343" s="13" t="n"/>
    </row>
    <row r="4344">
      <c r="E4344" s="13" t="n"/>
    </row>
    <row r="4345">
      <c r="E4345" s="13" t="n"/>
    </row>
    <row r="4346">
      <c r="E4346" s="13" t="n"/>
    </row>
    <row r="4347">
      <c r="E4347" s="13" t="n"/>
    </row>
    <row r="4348">
      <c r="E4348" s="13" t="n"/>
    </row>
    <row r="4349">
      <c r="E4349" s="13" t="n"/>
    </row>
    <row r="4350">
      <c r="E4350" s="13" t="n"/>
    </row>
    <row r="4351">
      <c r="E4351" s="13" t="n"/>
    </row>
    <row r="4352">
      <c r="E4352" s="13" t="n"/>
    </row>
    <row r="4353">
      <c r="E4353" s="13" t="n"/>
    </row>
    <row r="4354">
      <c r="E4354" s="13" t="n"/>
    </row>
    <row r="4355">
      <c r="E4355" s="13" t="n"/>
    </row>
    <row r="4356">
      <c r="E4356" s="13" t="n"/>
    </row>
    <row r="4357">
      <c r="E4357" s="13" t="n"/>
    </row>
    <row r="4358">
      <c r="E4358" s="13" t="n"/>
    </row>
    <row r="4359">
      <c r="E4359" s="13" t="n"/>
    </row>
    <row r="4360">
      <c r="E4360" s="13" t="n"/>
    </row>
    <row r="4361">
      <c r="E4361" s="13" t="n"/>
    </row>
    <row r="4362">
      <c r="E4362" s="13" t="n"/>
    </row>
    <row r="4363">
      <c r="E4363" s="13" t="n"/>
    </row>
    <row r="4364">
      <c r="E4364" s="13" t="n"/>
    </row>
    <row r="4365">
      <c r="E4365" s="13" t="n"/>
    </row>
    <row r="4366">
      <c r="E4366" s="13" t="n"/>
    </row>
    <row r="4367">
      <c r="E4367" s="13" t="n"/>
    </row>
    <row r="4368">
      <c r="E4368" s="13" t="n"/>
    </row>
    <row r="4369">
      <c r="E4369" s="13" t="n"/>
    </row>
    <row r="4370">
      <c r="E4370" s="13" t="n"/>
    </row>
    <row r="4371">
      <c r="E4371" s="13" t="n"/>
    </row>
    <row r="4372">
      <c r="E4372" s="13" t="n"/>
    </row>
    <row r="4373">
      <c r="E4373" s="13" t="n"/>
    </row>
    <row r="4374">
      <c r="E4374" s="13" t="n"/>
    </row>
    <row r="4375">
      <c r="E4375" s="13" t="n"/>
    </row>
    <row r="4376">
      <c r="E4376" s="13" t="n"/>
    </row>
    <row r="4377">
      <c r="E4377" s="13" t="n"/>
    </row>
    <row r="4378">
      <c r="E4378" s="13" t="n"/>
    </row>
    <row r="4379">
      <c r="E4379" s="13" t="n"/>
    </row>
    <row r="4380">
      <c r="E4380" s="13" t="n"/>
    </row>
    <row r="4381">
      <c r="E4381" s="13" t="n"/>
    </row>
    <row r="4382">
      <c r="E4382" s="13" t="n"/>
    </row>
    <row r="4383">
      <c r="E4383" s="13" t="n"/>
    </row>
    <row r="4384">
      <c r="E4384" s="13" t="n"/>
    </row>
    <row r="4385">
      <c r="E4385" s="13" t="n"/>
    </row>
    <row r="4386">
      <c r="E4386" s="13" t="n"/>
    </row>
    <row r="4387">
      <c r="E4387" s="13" t="n"/>
    </row>
    <row r="4388">
      <c r="E4388" s="13" t="n"/>
    </row>
    <row r="4389">
      <c r="E4389" s="13" t="n"/>
    </row>
    <row r="4390">
      <c r="E4390" s="13" t="n"/>
    </row>
    <row r="4391">
      <c r="E4391" s="13" t="n"/>
    </row>
    <row r="4392">
      <c r="E4392" s="13" t="n"/>
    </row>
    <row r="4393">
      <c r="E4393" s="13" t="n"/>
    </row>
    <row r="4394">
      <c r="E4394" s="13" t="n"/>
    </row>
    <row r="4395">
      <c r="E4395" s="13" t="n"/>
    </row>
    <row r="4396">
      <c r="E4396" s="13" t="n"/>
    </row>
    <row r="4397">
      <c r="E4397" s="13" t="n"/>
    </row>
    <row r="4398">
      <c r="E4398" s="13" t="n"/>
    </row>
    <row r="4399">
      <c r="E4399" s="13" t="n"/>
    </row>
    <row r="4400">
      <c r="E4400" s="13" t="n"/>
    </row>
    <row r="4401">
      <c r="E4401" s="13" t="n"/>
    </row>
    <row r="4402">
      <c r="E4402" s="13" t="n"/>
    </row>
    <row r="4403">
      <c r="E4403" s="13" t="n"/>
    </row>
    <row r="4404">
      <c r="E4404" s="13" t="n"/>
    </row>
    <row r="4405">
      <c r="E4405" s="13" t="n"/>
    </row>
    <row r="4406">
      <c r="E4406" s="13" t="n"/>
    </row>
    <row r="4407">
      <c r="E4407" s="13" t="n"/>
    </row>
    <row r="4408">
      <c r="E4408" s="13" t="n"/>
    </row>
    <row r="4409">
      <c r="E4409" s="13" t="n"/>
    </row>
    <row r="4410">
      <c r="E4410" s="13" t="n"/>
    </row>
    <row r="4411">
      <c r="E4411" s="13" t="n"/>
    </row>
    <row r="4412">
      <c r="E4412" s="13" t="n"/>
    </row>
    <row r="4413">
      <c r="E4413" s="13" t="n"/>
    </row>
    <row r="4414">
      <c r="E4414" s="13" t="n"/>
    </row>
    <row r="4415">
      <c r="E4415" s="13" t="n"/>
    </row>
    <row r="4416">
      <c r="E4416" s="13" t="n"/>
    </row>
    <row r="4417">
      <c r="E4417" s="13" t="n"/>
    </row>
    <row r="4418">
      <c r="E4418" s="13" t="n"/>
    </row>
    <row r="4419">
      <c r="E4419" s="13" t="n"/>
    </row>
    <row r="4420">
      <c r="E4420" s="13" t="n"/>
    </row>
    <row r="4421">
      <c r="E4421" s="13" t="n"/>
    </row>
    <row r="4422">
      <c r="E4422" s="13" t="n"/>
    </row>
    <row r="4423">
      <c r="E4423" s="13" t="n"/>
    </row>
    <row r="4424">
      <c r="E4424" s="13" t="n"/>
    </row>
    <row r="4425">
      <c r="E4425" s="13" t="n"/>
    </row>
    <row r="4426">
      <c r="E4426" s="13" t="n"/>
    </row>
    <row r="4427">
      <c r="E4427" s="13" t="n"/>
    </row>
    <row r="4428">
      <c r="E4428" s="13" t="n"/>
    </row>
    <row r="4429">
      <c r="E4429" s="13" t="n"/>
    </row>
    <row r="4430">
      <c r="E4430" s="13" t="n"/>
    </row>
    <row r="4431">
      <c r="E4431" s="13" t="n"/>
    </row>
    <row r="4432">
      <c r="E4432" s="13" t="n"/>
    </row>
    <row r="4433">
      <c r="E4433" s="13" t="n"/>
    </row>
    <row r="4434">
      <c r="E4434" s="13" t="n"/>
    </row>
    <row r="4435">
      <c r="E4435" s="13" t="n"/>
    </row>
    <row r="4436">
      <c r="E4436" s="13" t="n"/>
    </row>
    <row r="4437">
      <c r="E4437" s="13" t="n"/>
    </row>
    <row r="4438">
      <c r="E4438" s="13" t="n"/>
    </row>
    <row r="4439">
      <c r="E4439" s="13" t="n"/>
    </row>
    <row r="4440">
      <c r="E4440" s="13" t="n"/>
    </row>
    <row r="4441">
      <c r="E4441" s="13" t="n"/>
    </row>
    <row r="4442">
      <c r="E4442" s="13" t="n"/>
    </row>
    <row r="4443">
      <c r="E4443" s="13" t="n"/>
    </row>
    <row r="4444">
      <c r="E4444" s="13" t="n"/>
    </row>
    <row r="4445">
      <c r="E4445" s="13" t="n"/>
    </row>
    <row r="4446">
      <c r="E4446" s="13" t="n"/>
    </row>
    <row r="4447">
      <c r="E4447" s="13" t="n"/>
    </row>
    <row r="4448">
      <c r="E4448" s="13" t="n"/>
    </row>
    <row r="4449">
      <c r="E4449" s="13" t="n"/>
    </row>
    <row r="4450">
      <c r="E4450" s="13" t="n"/>
    </row>
    <row r="4451">
      <c r="E4451" s="13" t="n"/>
    </row>
    <row r="4452">
      <c r="E4452" s="13" t="n"/>
    </row>
    <row r="4453">
      <c r="E4453" s="13" t="n"/>
    </row>
    <row r="4454">
      <c r="E4454" s="13" t="n"/>
    </row>
    <row r="4455">
      <c r="E4455" s="13" t="n"/>
    </row>
    <row r="4456">
      <c r="E4456" s="13" t="n"/>
    </row>
    <row r="4457">
      <c r="E4457" s="13" t="n"/>
    </row>
    <row r="4458">
      <c r="E4458" s="13" t="n"/>
    </row>
    <row r="4459">
      <c r="E4459" s="13" t="n"/>
    </row>
    <row r="4460">
      <c r="E4460" s="13" t="n"/>
    </row>
    <row r="4461">
      <c r="E4461" s="13" t="n"/>
    </row>
    <row r="4462">
      <c r="E4462" s="13" t="n"/>
    </row>
    <row r="4463">
      <c r="E4463" s="13" t="n"/>
    </row>
    <row r="4464">
      <c r="E4464" s="13" t="n"/>
    </row>
    <row r="4465">
      <c r="E4465" s="13" t="n"/>
    </row>
    <row r="4466">
      <c r="E4466" s="13" t="n"/>
    </row>
    <row r="4467">
      <c r="E4467" s="13" t="n"/>
    </row>
    <row r="4468">
      <c r="E4468" s="13" t="n"/>
    </row>
    <row r="4469">
      <c r="E4469" s="13" t="n"/>
    </row>
    <row r="4470">
      <c r="E4470" s="13" t="n"/>
    </row>
    <row r="4471">
      <c r="E4471" s="13" t="n"/>
    </row>
    <row r="4472">
      <c r="E4472" s="13" t="n"/>
    </row>
    <row r="4473">
      <c r="E4473" s="13" t="n"/>
    </row>
    <row r="4474">
      <c r="E4474" s="13" t="n"/>
    </row>
    <row r="4475">
      <c r="E4475" s="13" t="n"/>
    </row>
    <row r="4476">
      <c r="E4476" s="13" t="n"/>
    </row>
    <row r="4477">
      <c r="E4477" s="13" t="n"/>
    </row>
    <row r="4478">
      <c r="E4478" s="13" t="n"/>
    </row>
    <row r="4479">
      <c r="E4479" s="13" t="n"/>
    </row>
    <row r="4480">
      <c r="E4480" s="13" t="n"/>
    </row>
    <row r="4481">
      <c r="E4481" s="13" t="n"/>
    </row>
    <row r="4482">
      <c r="E4482" s="13" t="n"/>
    </row>
    <row r="4483">
      <c r="E4483" s="13" t="n"/>
    </row>
    <row r="4484">
      <c r="E4484" s="13" t="n"/>
    </row>
    <row r="4485">
      <c r="E4485" s="13" t="n"/>
    </row>
    <row r="4486">
      <c r="E4486" s="13" t="n"/>
    </row>
    <row r="4487">
      <c r="E4487" s="13" t="n"/>
    </row>
    <row r="4488">
      <c r="E4488" s="13" t="n"/>
    </row>
    <row r="4489">
      <c r="E4489" s="13" t="n"/>
    </row>
    <row r="4490">
      <c r="E4490" s="13" t="n"/>
    </row>
    <row r="4491">
      <c r="E4491" s="13" t="n"/>
    </row>
    <row r="4492">
      <c r="E4492" s="13" t="n"/>
    </row>
    <row r="4493">
      <c r="E4493" s="13" t="n"/>
    </row>
    <row r="4494">
      <c r="E4494" s="13" t="n"/>
    </row>
    <row r="4495">
      <c r="E4495" s="13" t="n"/>
    </row>
    <row r="4496">
      <c r="E4496" s="13" t="n"/>
    </row>
    <row r="4497">
      <c r="E4497" s="13" t="n"/>
    </row>
    <row r="4498">
      <c r="E4498" s="13" t="n"/>
    </row>
    <row r="4499">
      <c r="E4499" s="13" t="n"/>
    </row>
    <row r="4500">
      <c r="E4500" s="13" t="n"/>
    </row>
    <row r="4501">
      <c r="E4501" s="13" t="n"/>
    </row>
    <row r="4502">
      <c r="E4502" s="13" t="n"/>
    </row>
    <row r="4503">
      <c r="E4503" s="13" t="n"/>
    </row>
    <row r="4504">
      <c r="E4504" s="13" t="n"/>
    </row>
    <row r="4505">
      <c r="E4505" s="13" t="n"/>
    </row>
    <row r="4506">
      <c r="E4506" s="13" t="n"/>
    </row>
    <row r="4507">
      <c r="E4507" s="13" t="n"/>
    </row>
    <row r="4508">
      <c r="E4508" s="13" t="n"/>
    </row>
    <row r="4509">
      <c r="E4509" s="13" t="n"/>
    </row>
    <row r="4510">
      <c r="E4510" s="13" t="n"/>
    </row>
    <row r="4511">
      <c r="E4511" s="13" t="n"/>
    </row>
    <row r="4512">
      <c r="E4512" s="13" t="n"/>
    </row>
    <row r="4513">
      <c r="E4513" s="13" t="n"/>
    </row>
    <row r="4514">
      <c r="E4514" s="13" t="n"/>
    </row>
    <row r="4515">
      <c r="E4515" s="13" t="n"/>
    </row>
    <row r="4516">
      <c r="E4516" s="13" t="n"/>
    </row>
    <row r="4517">
      <c r="E4517" s="13" t="n"/>
    </row>
    <row r="4518">
      <c r="E4518" s="13" t="n"/>
    </row>
    <row r="4519">
      <c r="E4519" s="13" t="n"/>
    </row>
    <row r="4520">
      <c r="E4520" s="13" t="n"/>
    </row>
    <row r="4521">
      <c r="E4521" s="13" t="n"/>
    </row>
    <row r="4522">
      <c r="E4522" s="13" t="n"/>
    </row>
    <row r="4523">
      <c r="E4523" s="13" t="n"/>
    </row>
    <row r="4524">
      <c r="E4524" s="13" t="n"/>
    </row>
    <row r="4525">
      <c r="E4525" s="13" t="n"/>
    </row>
    <row r="4526">
      <c r="E4526" s="13" t="n"/>
    </row>
    <row r="4527">
      <c r="E4527" s="13" t="n"/>
    </row>
    <row r="4528">
      <c r="E4528" s="13" t="n"/>
    </row>
    <row r="4529">
      <c r="E4529" s="13" t="n"/>
    </row>
    <row r="4530">
      <c r="E4530" s="13" t="n"/>
    </row>
    <row r="4531">
      <c r="E4531" s="13" t="n"/>
    </row>
    <row r="4532">
      <c r="E4532" s="13" t="n"/>
    </row>
    <row r="4533">
      <c r="E4533" s="13" t="n"/>
    </row>
    <row r="4534">
      <c r="E4534" s="13" t="n"/>
    </row>
    <row r="4535">
      <c r="E4535" s="13" t="n"/>
    </row>
    <row r="4536">
      <c r="E4536" s="13" t="n"/>
    </row>
    <row r="4537">
      <c r="E4537" s="13" t="n"/>
    </row>
    <row r="4538">
      <c r="E4538" s="13" t="n"/>
    </row>
    <row r="4539">
      <c r="E4539" s="13" t="n"/>
    </row>
    <row r="4540">
      <c r="E4540" s="13" t="n"/>
    </row>
    <row r="4541">
      <c r="E4541" s="13" t="n"/>
    </row>
    <row r="4542">
      <c r="E4542" s="13" t="n"/>
    </row>
    <row r="4543">
      <c r="E4543" s="13" t="n"/>
    </row>
    <row r="4544">
      <c r="E4544" s="13" t="n"/>
    </row>
    <row r="4545">
      <c r="E4545" s="13" t="n"/>
    </row>
    <row r="4546">
      <c r="E4546" s="13" t="n"/>
    </row>
    <row r="4547">
      <c r="E4547" s="13" t="n"/>
    </row>
    <row r="4548">
      <c r="E4548" s="13" t="n"/>
    </row>
    <row r="4549">
      <c r="E4549" s="13" t="n"/>
    </row>
    <row r="4550">
      <c r="E4550" s="13" t="n"/>
    </row>
    <row r="4551">
      <c r="E4551" s="13" t="n"/>
    </row>
    <row r="4552">
      <c r="E4552" s="13" t="n"/>
    </row>
    <row r="4553">
      <c r="E4553" s="13" t="n"/>
    </row>
    <row r="4554">
      <c r="E4554" s="13" t="n"/>
    </row>
    <row r="4555">
      <c r="E4555" s="13" t="n"/>
    </row>
    <row r="4556">
      <c r="E4556" s="13" t="n"/>
    </row>
    <row r="4557">
      <c r="E4557" s="13" t="n"/>
    </row>
    <row r="4558">
      <c r="E4558" s="13" t="n"/>
    </row>
    <row r="4559">
      <c r="E4559" s="13" t="n"/>
    </row>
    <row r="4560">
      <c r="E4560" s="13" t="n"/>
    </row>
    <row r="4561">
      <c r="E4561" s="13" t="n"/>
    </row>
    <row r="4562">
      <c r="E4562" s="13" t="n"/>
    </row>
    <row r="4563">
      <c r="E4563" s="13" t="n"/>
    </row>
    <row r="4564">
      <c r="E4564" s="13" t="n"/>
    </row>
    <row r="4565">
      <c r="E4565" s="13" t="n"/>
    </row>
    <row r="4566">
      <c r="E4566" s="13" t="n"/>
    </row>
    <row r="4567">
      <c r="E4567" s="13" t="n"/>
    </row>
    <row r="4568">
      <c r="E4568" s="13" t="n"/>
    </row>
    <row r="4569">
      <c r="E4569" s="13" t="n"/>
    </row>
    <row r="4570">
      <c r="E4570" s="13" t="n"/>
    </row>
    <row r="4571">
      <c r="E4571" s="13" t="n"/>
    </row>
    <row r="4572">
      <c r="E4572" s="13" t="n"/>
    </row>
    <row r="4573">
      <c r="E4573" s="13" t="n"/>
    </row>
    <row r="4574">
      <c r="E4574" s="13" t="n"/>
    </row>
    <row r="4575">
      <c r="E4575" s="13" t="n"/>
    </row>
    <row r="4576">
      <c r="E4576" s="13" t="n"/>
    </row>
    <row r="4577">
      <c r="E4577" s="13" t="n"/>
    </row>
    <row r="4578">
      <c r="E4578" s="13" t="n"/>
    </row>
    <row r="4579">
      <c r="E4579" s="13" t="n"/>
    </row>
    <row r="4580">
      <c r="E4580" s="13" t="n"/>
    </row>
    <row r="4581">
      <c r="E4581" s="13" t="n"/>
    </row>
    <row r="4582">
      <c r="E4582" s="13" t="n"/>
    </row>
    <row r="4583">
      <c r="E4583" s="13" t="n"/>
    </row>
    <row r="4584">
      <c r="E4584" s="13" t="n"/>
    </row>
    <row r="4585">
      <c r="E4585" s="13" t="n"/>
    </row>
    <row r="4586">
      <c r="E4586" s="13" t="n"/>
    </row>
    <row r="4587">
      <c r="E4587" s="13" t="n"/>
    </row>
    <row r="4588">
      <c r="E4588" s="13" t="n"/>
    </row>
    <row r="4589">
      <c r="E4589" s="13" t="n"/>
    </row>
    <row r="4590">
      <c r="E4590" s="13" t="n"/>
    </row>
    <row r="4591">
      <c r="E4591" s="13" t="n"/>
    </row>
    <row r="4592">
      <c r="E4592" s="13" t="n"/>
    </row>
    <row r="4593">
      <c r="E4593" s="13" t="n"/>
    </row>
    <row r="4594">
      <c r="E4594" s="13" t="n"/>
    </row>
    <row r="4595">
      <c r="E4595" s="13" t="n"/>
    </row>
    <row r="4596">
      <c r="E4596" s="13" t="n"/>
    </row>
    <row r="4597">
      <c r="E4597" s="13" t="n"/>
    </row>
    <row r="4598">
      <c r="E4598" s="13" t="n"/>
    </row>
    <row r="4599">
      <c r="E4599" s="13" t="n"/>
    </row>
    <row r="4600">
      <c r="E4600" s="13" t="n"/>
    </row>
    <row r="4601">
      <c r="E4601" s="13" t="n"/>
    </row>
    <row r="4602">
      <c r="E4602" s="13" t="n"/>
    </row>
    <row r="4603">
      <c r="E4603" s="13" t="n"/>
    </row>
    <row r="4604">
      <c r="E4604" s="13" t="n"/>
    </row>
    <row r="4605">
      <c r="E4605" s="13" t="n"/>
    </row>
    <row r="4606">
      <c r="E4606" s="13" t="n"/>
    </row>
    <row r="4607">
      <c r="E4607" s="13" t="n"/>
    </row>
    <row r="4608">
      <c r="E4608" s="13" t="n"/>
    </row>
    <row r="4609">
      <c r="E4609" s="13" t="n"/>
    </row>
    <row r="4610">
      <c r="E4610" s="13" t="n"/>
    </row>
    <row r="4611">
      <c r="E4611" s="13" t="n"/>
    </row>
    <row r="4612">
      <c r="E4612" s="13" t="n"/>
    </row>
    <row r="4613">
      <c r="E4613" s="13" t="n"/>
    </row>
    <row r="4614">
      <c r="E4614" s="13" t="n"/>
    </row>
    <row r="4615">
      <c r="E4615" s="13" t="n"/>
    </row>
    <row r="4616">
      <c r="E4616" s="13" t="n"/>
    </row>
    <row r="4617">
      <c r="E4617" s="13" t="n"/>
    </row>
    <row r="4618">
      <c r="E4618" s="13" t="n"/>
    </row>
    <row r="4619">
      <c r="E4619" s="13" t="n"/>
    </row>
    <row r="4620">
      <c r="E4620" s="13" t="n"/>
    </row>
    <row r="4621">
      <c r="E4621" s="13" t="n"/>
    </row>
    <row r="4622">
      <c r="E4622" s="13" t="n"/>
    </row>
    <row r="4623">
      <c r="E4623" s="13" t="n"/>
    </row>
    <row r="4624">
      <c r="E4624" s="13" t="n"/>
    </row>
    <row r="4625">
      <c r="E4625" s="13" t="n"/>
    </row>
    <row r="4626">
      <c r="E4626" s="13" t="n"/>
    </row>
    <row r="4627">
      <c r="E4627" s="13" t="n"/>
    </row>
    <row r="4628">
      <c r="E4628" s="13" t="n"/>
    </row>
    <row r="4629">
      <c r="E4629" s="13" t="n"/>
    </row>
    <row r="4630">
      <c r="E4630" s="13" t="n"/>
    </row>
    <row r="4631">
      <c r="E4631" s="13" t="n"/>
    </row>
    <row r="4632">
      <c r="E4632" s="13" t="n"/>
    </row>
    <row r="4633">
      <c r="E4633" s="13" t="n"/>
    </row>
    <row r="4634">
      <c r="E4634" s="13" t="n"/>
    </row>
    <row r="4635">
      <c r="E4635" s="13" t="n"/>
    </row>
    <row r="4636">
      <c r="E4636" s="13" t="n"/>
    </row>
    <row r="4637">
      <c r="E4637" s="13" t="n"/>
    </row>
    <row r="4638">
      <c r="E4638" s="13" t="n"/>
    </row>
    <row r="4639">
      <c r="E4639" s="13" t="n"/>
    </row>
    <row r="4640">
      <c r="E4640" s="13" t="n"/>
    </row>
    <row r="4641">
      <c r="E4641" s="13" t="n"/>
    </row>
    <row r="4642">
      <c r="E4642" s="13" t="n"/>
    </row>
    <row r="4643">
      <c r="E4643" s="13" t="n"/>
    </row>
    <row r="4644">
      <c r="E4644" s="13" t="n"/>
    </row>
    <row r="4645">
      <c r="E4645" s="13" t="n"/>
    </row>
    <row r="4646">
      <c r="E4646" s="13" t="n"/>
    </row>
    <row r="4647">
      <c r="E4647" s="13" t="n"/>
    </row>
    <row r="4648">
      <c r="E4648" s="13" t="n"/>
    </row>
    <row r="4649">
      <c r="E4649" s="13" t="n"/>
    </row>
    <row r="4650">
      <c r="E4650" s="13" t="n"/>
    </row>
    <row r="4651">
      <c r="E4651" s="13" t="n"/>
    </row>
    <row r="4652">
      <c r="E4652" s="13" t="n"/>
    </row>
    <row r="4653">
      <c r="E4653" s="13" t="n"/>
    </row>
    <row r="4654">
      <c r="E4654" s="13" t="n"/>
    </row>
    <row r="4655">
      <c r="E4655" s="13" t="n"/>
    </row>
    <row r="4656">
      <c r="E4656" s="13" t="n"/>
    </row>
    <row r="4657">
      <c r="E4657" s="13" t="n"/>
    </row>
    <row r="4658">
      <c r="E4658" s="13" t="n"/>
    </row>
    <row r="4659">
      <c r="E4659" s="13" t="n"/>
    </row>
    <row r="4660">
      <c r="E4660" s="13" t="n"/>
    </row>
    <row r="4661">
      <c r="E4661" s="13" t="n"/>
    </row>
    <row r="4662">
      <c r="E4662" s="13" t="n"/>
    </row>
    <row r="4663">
      <c r="E4663" s="13" t="n"/>
    </row>
    <row r="4664">
      <c r="E4664" s="13" t="n"/>
    </row>
    <row r="4665">
      <c r="E4665" s="13" t="n"/>
    </row>
    <row r="4666">
      <c r="E4666" s="13" t="n"/>
    </row>
    <row r="4667">
      <c r="E4667" s="13" t="n"/>
    </row>
    <row r="4668">
      <c r="E4668" s="13" t="n"/>
    </row>
    <row r="4669">
      <c r="E4669" s="13" t="n"/>
    </row>
    <row r="4670">
      <c r="E4670" s="13" t="n"/>
    </row>
    <row r="4671">
      <c r="E4671" s="13" t="n"/>
    </row>
    <row r="4672">
      <c r="E4672" s="13" t="n"/>
    </row>
    <row r="4673">
      <c r="E4673" s="13" t="n"/>
    </row>
    <row r="4674">
      <c r="E4674" s="13" t="n"/>
    </row>
    <row r="4675">
      <c r="E4675" s="13" t="n"/>
    </row>
    <row r="4676">
      <c r="E4676" s="13" t="n"/>
    </row>
    <row r="4677">
      <c r="E4677" s="13" t="n"/>
    </row>
    <row r="4678">
      <c r="E4678" s="13" t="n"/>
    </row>
    <row r="4679">
      <c r="E4679" s="13" t="n"/>
    </row>
    <row r="4680">
      <c r="E4680" s="13" t="n"/>
    </row>
    <row r="4681">
      <c r="E4681" s="13" t="n"/>
    </row>
    <row r="4682">
      <c r="E4682" s="13" t="n"/>
    </row>
    <row r="4683">
      <c r="E4683" s="13" t="n"/>
    </row>
    <row r="4684">
      <c r="E4684" s="13" t="n"/>
    </row>
    <row r="4685">
      <c r="E4685" s="13" t="n"/>
    </row>
    <row r="4686">
      <c r="E4686" s="13" t="n"/>
    </row>
    <row r="4687">
      <c r="E4687" s="13" t="n"/>
    </row>
    <row r="4688">
      <c r="E4688" s="13" t="n"/>
    </row>
    <row r="4689">
      <c r="E4689" s="13" t="n"/>
    </row>
    <row r="4690">
      <c r="E4690" s="13" t="n"/>
    </row>
    <row r="4691">
      <c r="E4691" s="13" t="n"/>
    </row>
    <row r="4692">
      <c r="E4692" s="13" t="n"/>
    </row>
    <row r="4693">
      <c r="E4693" s="13" t="n"/>
    </row>
    <row r="4694">
      <c r="E4694" s="13" t="n"/>
    </row>
    <row r="4695">
      <c r="E4695" s="13" t="n"/>
    </row>
    <row r="4696">
      <c r="E4696" s="13" t="n"/>
    </row>
    <row r="4697">
      <c r="E4697" s="13" t="n"/>
    </row>
    <row r="4698">
      <c r="E4698" s="13" t="n"/>
    </row>
    <row r="4699">
      <c r="E4699" s="13" t="n"/>
    </row>
    <row r="4700">
      <c r="E4700" s="13" t="n"/>
    </row>
    <row r="4701">
      <c r="E4701" s="13" t="n"/>
    </row>
    <row r="4702">
      <c r="E4702" s="13" t="n"/>
    </row>
    <row r="4703">
      <c r="E4703" s="13" t="n"/>
    </row>
    <row r="4704">
      <c r="E4704" s="13" t="n"/>
    </row>
    <row r="4705">
      <c r="E4705" s="13" t="n"/>
    </row>
    <row r="4706">
      <c r="E4706" s="13" t="n"/>
    </row>
    <row r="4707">
      <c r="E4707" s="13" t="n"/>
    </row>
    <row r="4708">
      <c r="E4708" s="13" t="n"/>
    </row>
    <row r="4709">
      <c r="E4709" s="13" t="n"/>
    </row>
    <row r="4710">
      <c r="E4710" s="13" t="n"/>
    </row>
    <row r="4711">
      <c r="E4711" s="13" t="n"/>
    </row>
    <row r="4712">
      <c r="E4712" s="13" t="n"/>
    </row>
    <row r="4713">
      <c r="E4713" s="13" t="n"/>
    </row>
    <row r="4714">
      <c r="E4714" s="13" t="n"/>
    </row>
    <row r="4715">
      <c r="E4715" s="13" t="n"/>
    </row>
    <row r="4716">
      <c r="E4716" s="13" t="n"/>
    </row>
    <row r="4717">
      <c r="E4717" s="13" t="n"/>
    </row>
    <row r="4718">
      <c r="E4718" s="13" t="n"/>
    </row>
    <row r="4719">
      <c r="E4719" s="13" t="n"/>
    </row>
    <row r="4720">
      <c r="E4720" s="13" t="n"/>
    </row>
    <row r="4721">
      <c r="E4721" s="13" t="n"/>
    </row>
    <row r="4722">
      <c r="E4722" s="13" t="n"/>
    </row>
    <row r="4723">
      <c r="E4723" s="13" t="n"/>
    </row>
    <row r="4724">
      <c r="E4724" s="13" t="n"/>
    </row>
    <row r="4725">
      <c r="E4725" s="13" t="n"/>
    </row>
    <row r="4726">
      <c r="E4726" s="13" t="n"/>
    </row>
    <row r="4727">
      <c r="E4727" s="13" t="n"/>
    </row>
    <row r="4728">
      <c r="E4728" s="13" t="n"/>
    </row>
    <row r="4729">
      <c r="E4729" s="13" t="n"/>
    </row>
    <row r="4730">
      <c r="E4730" s="13" t="n"/>
    </row>
    <row r="4731">
      <c r="E4731" s="13" t="n"/>
    </row>
    <row r="4732">
      <c r="E4732" s="13" t="n"/>
    </row>
    <row r="4733">
      <c r="E4733" s="13" t="n"/>
    </row>
    <row r="4734">
      <c r="E4734" s="13" t="n"/>
    </row>
    <row r="4735">
      <c r="E4735" s="13" t="n"/>
    </row>
    <row r="4736">
      <c r="E4736" s="13" t="n"/>
    </row>
    <row r="4737">
      <c r="E4737" s="13" t="n"/>
    </row>
    <row r="4738">
      <c r="E4738" s="13" t="n"/>
    </row>
    <row r="4739">
      <c r="E4739" s="13" t="n"/>
    </row>
    <row r="4740">
      <c r="E4740" s="13" t="n"/>
    </row>
    <row r="4741">
      <c r="E4741" s="13" t="n"/>
    </row>
    <row r="4742">
      <c r="E4742" s="13" t="n"/>
    </row>
    <row r="4743">
      <c r="E4743" s="13" t="n"/>
    </row>
    <row r="4744">
      <c r="E4744" s="13" t="n"/>
    </row>
    <row r="4745">
      <c r="E4745" s="13" t="n"/>
    </row>
    <row r="4746">
      <c r="E4746" s="13" t="n"/>
    </row>
    <row r="4747">
      <c r="E4747" s="13" t="n"/>
    </row>
    <row r="4748">
      <c r="E4748" s="13" t="n"/>
    </row>
    <row r="4749">
      <c r="E4749" s="13" t="n"/>
    </row>
    <row r="4750">
      <c r="E4750" s="13" t="n"/>
    </row>
    <row r="4751">
      <c r="E4751" s="13" t="n"/>
    </row>
    <row r="4752">
      <c r="E4752" s="13" t="n"/>
    </row>
    <row r="4753">
      <c r="E4753" s="13" t="n"/>
    </row>
    <row r="4754">
      <c r="E4754" s="13" t="n"/>
    </row>
    <row r="4755">
      <c r="E4755" s="13" t="n"/>
    </row>
    <row r="4756">
      <c r="E4756" s="13" t="n"/>
    </row>
    <row r="4757">
      <c r="E4757" s="13" t="n"/>
    </row>
    <row r="4758">
      <c r="E4758" s="13" t="n"/>
    </row>
    <row r="4759">
      <c r="E4759" s="13" t="n"/>
    </row>
    <row r="4760">
      <c r="E4760" s="13" t="n"/>
    </row>
    <row r="4761">
      <c r="E4761" s="13" t="n"/>
    </row>
    <row r="4762">
      <c r="E4762" s="13" t="n"/>
    </row>
    <row r="4763">
      <c r="E4763" s="13" t="n"/>
    </row>
    <row r="4764">
      <c r="E4764" s="13" t="n"/>
    </row>
    <row r="4765">
      <c r="E4765" s="13" t="n"/>
    </row>
    <row r="4766">
      <c r="E4766" s="13" t="n"/>
    </row>
    <row r="4767">
      <c r="E4767" s="13" t="n"/>
    </row>
    <row r="4768">
      <c r="E4768" s="13" t="n"/>
    </row>
    <row r="4769">
      <c r="E4769" s="13" t="n"/>
    </row>
    <row r="4770">
      <c r="E4770" s="13" t="n"/>
    </row>
    <row r="4771">
      <c r="E4771" s="13" t="n"/>
    </row>
    <row r="4772">
      <c r="E4772" s="13" t="n"/>
    </row>
    <row r="4773">
      <c r="E4773" s="13" t="n"/>
    </row>
    <row r="4774">
      <c r="E4774" s="13" t="n"/>
    </row>
    <row r="4775">
      <c r="E4775" s="13" t="n"/>
    </row>
    <row r="4776">
      <c r="E4776" s="13" t="n"/>
    </row>
    <row r="4777">
      <c r="E4777" s="13" t="n"/>
    </row>
    <row r="4778">
      <c r="E4778" s="13" t="n"/>
    </row>
    <row r="4779">
      <c r="E4779" s="13" t="n"/>
    </row>
    <row r="4780">
      <c r="E4780" s="13" t="n"/>
    </row>
    <row r="4781">
      <c r="E4781" s="13" t="n"/>
    </row>
    <row r="4782">
      <c r="E4782" s="13" t="n"/>
    </row>
    <row r="4783">
      <c r="E4783" s="13" t="n"/>
    </row>
    <row r="4784">
      <c r="E4784" s="13" t="n"/>
    </row>
    <row r="4785">
      <c r="E4785" s="13" t="n"/>
    </row>
    <row r="4786">
      <c r="E4786" s="13" t="n"/>
    </row>
    <row r="4787">
      <c r="E4787" s="13" t="n"/>
    </row>
    <row r="4788">
      <c r="E4788" s="13" t="n"/>
    </row>
    <row r="4789">
      <c r="E4789" s="13" t="n"/>
    </row>
    <row r="4790">
      <c r="E4790" s="13" t="n"/>
    </row>
    <row r="4791">
      <c r="E4791" s="13" t="n"/>
    </row>
    <row r="4792">
      <c r="E4792" s="13" t="n"/>
    </row>
    <row r="4793">
      <c r="E4793" s="13" t="n"/>
    </row>
    <row r="4794">
      <c r="E4794" s="13" t="n"/>
    </row>
    <row r="4795">
      <c r="E4795" s="13" t="n"/>
    </row>
    <row r="4796">
      <c r="E4796" s="13" t="n"/>
    </row>
    <row r="4797">
      <c r="E4797" s="13" t="n"/>
    </row>
    <row r="4798">
      <c r="E4798" s="13" t="n"/>
    </row>
    <row r="4799">
      <c r="E4799" s="13" t="n"/>
    </row>
    <row r="4800">
      <c r="E4800" s="13" t="n"/>
    </row>
    <row r="4801">
      <c r="E4801" s="13" t="n"/>
    </row>
    <row r="4802">
      <c r="E4802" s="13" t="n"/>
    </row>
    <row r="4803">
      <c r="E4803" s="13" t="n"/>
    </row>
    <row r="4804">
      <c r="E4804" s="13" t="n"/>
    </row>
    <row r="4805">
      <c r="E4805" s="13" t="n"/>
    </row>
    <row r="4806">
      <c r="E4806" s="13" t="n"/>
    </row>
    <row r="4807">
      <c r="E4807" s="13" t="n"/>
    </row>
    <row r="4808">
      <c r="E4808" s="13" t="n"/>
    </row>
    <row r="4809">
      <c r="E4809" s="13" t="n"/>
    </row>
    <row r="4810">
      <c r="E4810" s="13" t="n"/>
    </row>
    <row r="4811">
      <c r="E4811" s="13" t="n"/>
    </row>
    <row r="4812">
      <c r="E4812" s="13" t="n"/>
    </row>
    <row r="4813">
      <c r="E4813" s="13" t="n"/>
    </row>
    <row r="4814">
      <c r="E4814" s="13" t="n"/>
    </row>
    <row r="4815">
      <c r="E4815" s="13" t="n"/>
    </row>
    <row r="4816">
      <c r="E4816" s="13" t="n"/>
    </row>
    <row r="4817">
      <c r="E4817" s="13" t="n"/>
    </row>
    <row r="4818">
      <c r="E4818" s="13" t="n"/>
    </row>
    <row r="4819">
      <c r="E4819" s="13" t="n"/>
    </row>
    <row r="4820">
      <c r="E4820" s="13" t="n"/>
    </row>
    <row r="4821">
      <c r="E4821" s="13" t="n"/>
    </row>
    <row r="4822">
      <c r="E4822" s="13" t="n"/>
    </row>
    <row r="4823">
      <c r="E4823" s="13" t="n"/>
    </row>
    <row r="4824">
      <c r="E4824" s="13" t="n"/>
    </row>
    <row r="4825">
      <c r="E4825" s="13" t="n"/>
    </row>
    <row r="4826">
      <c r="E4826" s="13" t="n"/>
    </row>
    <row r="4827">
      <c r="E4827" s="13" t="n"/>
    </row>
    <row r="4828">
      <c r="E4828" s="13" t="n"/>
    </row>
    <row r="4829">
      <c r="E4829" s="13" t="n"/>
    </row>
    <row r="4830">
      <c r="E4830" s="13" t="n"/>
    </row>
    <row r="4831">
      <c r="E4831" s="13" t="n"/>
    </row>
    <row r="4832">
      <c r="E4832" s="13" t="n"/>
    </row>
    <row r="4833">
      <c r="E4833" s="13" t="n"/>
    </row>
    <row r="4834">
      <c r="E4834" s="13" t="n"/>
    </row>
    <row r="4835">
      <c r="E4835" s="13" t="n"/>
    </row>
    <row r="4836">
      <c r="E4836" s="13" t="n"/>
    </row>
    <row r="4837">
      <c r="E4837" s="13" t="n"/>
    </row>
    <row r="4838">
      <c r="E4838" s="13" t="n"/>
    </row>
    <row r="4839">
      <c r="E4839" s="13" t="n"/>
    </row>
    <row r="4840">
      <c r="E4840" s="13" t="n"/>
    </row>
    <row r="4841">
      <c r="E4841" s="13" t="n"/>
    </row>
    <row r="4842">
      <c r="E4842" s="13" t="n"/>
    </row>
    <row r="4843">
      <c r="E4843" s="13" t="n"/>
    </row>
    <row r="4844">
      <c r="E4844" s="13" t="n"/>
    </row>
    <row r="4845">
      <c r="E4845" s="13" t="n"/>
    </row>
    <row r="4846">
      <c r="E4846" s="13" t="n"/>
    </row>
    <row r="4847">
      <c r="E4847" s="13" t="n"/>
    </row>
    <row r="4848">
      <c r="E4848" s="13" t="n"/>
    </row>
    <row r="4849">
      <c r="E4849" s="13" t="n"/>
    </row>
    <row r="4850">
      <c r="E4850" s="13" t="n"/>
    </row>
    <row r="4851">
      <c r="E4851" s="13" t="n"/>
    </row>
    <row r="4852">
      <c r="E4852" s="13" t="n"/>
    </row>
    <row r="4853">
      <c r="E4853" s="13" t="n"/>
    </row>
    <row r="4854">
      <c r="E4854" s="13" t="n"/>
    </row>
    <row r="4855">
      <c r="E4855" s="13" t="n"/>
    </row>
    <row r="4856">
      <c r="E4856" s="13" t="n"/>
    </row>
    <row r="4857">
      <c r="E4857" s="13" t="n"/>
    </row>
    <row r="4858">
      <c r="E4858" s="13" t="n"/>
    </row>
    <row r="4859">
      <c r="E4859" s="13" t="n"/>
    </row>
    <row r="4860">
      <c r="E4860" s="13" t="n"/>
    </row>
    <row r="4861">
      <c r="E4861" s="13" t="n"/>
    </row>
    <row r="4862">
      <c r="E4862" s="13" t="n"/>
    </row>
    <row r="4863">
      <c r="E4863" s="13" t="n"/>
    </row>
    <row r="4864">
      <c r="E4864" s="13" t="n"/>
    </row>
    <row r="4865">
      <c r="E4865" s="13" t="n"/>
    </row>
    <row r="4866">
      <c r="E4866" s="13" t="n"/>
    </row>
    <row r="4867">
      <c r="E4867" s="13" t="n"/>
    </row>
    <row r="4868">
      <c r="E4868" s="13" t="n"/>
    </row>
    <row r="4869">
      <c r="E4869" s="13" t="n"/>
    </row>
    <row r="4870">
      <c r="E4870" s="13" t="n"/>
    </row>
    <row r="4871">
      <c r="E4871" s="13" t="n"/>
    </row>
    <row r="4872">
      <c r="E4872" s="13" t="n"/>
    </row>
    <row r="4873">
      <c r="E4873" s="13" t="n"/>
    </row>
    <row r="4874">
      <c r="E4874" s="13" t="n"/>
    </row>
    <row r="4875">
      <c r="E4875" s="13" t="n"/>
    </row>
    <row r="4876">
      <c r="E4876" s="13" t="n"/>
    </row>
    <row r="4877">
      <c r="E4877" s="13" t="n"/>
    </row>
    <row r="4878">
      <c r="E4878" s="13" t="n"/>
    </row>
    <row r="4879">
      <c r="E4879" s="13" t="n"/>
    </row>
    <row r="4880">
      <c r="E4880" s="13" t="n"/>
    </row>
    <row r="4881">
      <c r="E4881" s="13" t="n"/>
    </row>
    <row r="4882">
      <c r="E4882" s="13" t="n"/>
    </row>
    <row r="4883">
      <c r="E4883" s="13" t="n"/>
    </row>
    <row r="4884">
      <c r="E4884" s="13" t="n"/>
    </row>
    <row r="4885">
      <c r="E4885" s="13" t="n"/>
    </row>
    <row r="4886">
      <c r="E4886" s="13" t="n"/>
    </row>
    <row r="4887">
      <c r="E4887" s="13" t="n"/>
    </row>
    <row r="4888">
      <c r="E4888" s="13" t="n"/>
    </row>
    <row r="4889">
      <c r="E4889" s="13" t="n"/>
    </row>
    <row r="4890">
      <c r="E4890" s="13" t="n"/>
    </row>
    <row r="4891">
      <c r="E4891" s="13" t="n"/>
    </row>
    <row r="4892">
      <c r="E4892" s="13" t="n"/>
    </row>
    <row r="4893">
      <c r="E4893" s="13" t="n"/>
    </row>
    <row r="4894">
      <c r="E4894" s="13" t="n"/>
    </row>
    <row r="4895">
      <c r="E4895" s="13" t="n"/>
    </row>
    <row r="4896">
      <c r="E4896" s="13" t="n"/>
    </row>
    <row r="4897">
      <c r="E4897" s="13" t="n"/>
    </row>
    <row r="4898">
      <c r="E4898" s="13" t="n"/>
    </row>
    <row r="4899">
      <c r="E4899" s="13" t="n"/>
    </row>
    <row r="4900">
      <c r="E4900" s="13" t="n"/>
    </row>
    <row r="4901">
      <c r="E4901" s="13" t="n"/>
    </row>
    <row r="4902">
      <c r="E4902" s="13" t="n"/>
    </row>
    <row r="4903">
      <c r="E4903" s="13" t="n"/>
    </row>
    <row r="4904">
      <c r="E4904" s="13" t="n"/>
    </row>
    <row r="4905">
      <c r="E4905" s="13" t="n"/>
    </row>
    <row r="4906">
      <c r="E4906" s="13" t="n"/>
    </row>
    <row r="4907">
      <c r="E4907" s="13" t="n"/>
    </row>
    <row r="4908">
      <c r="E4908" s="13" t="n"/>
    </row>
    <row r="4909">
      <c r="E4909" s="13" t="n"/>
    </row>
    <row r="4910">
      <c r="E4910" s="13" t="n"/>
    </row>
    <row r="4911">
      <c r="E4911" s="13" t="n"/>
    </row>
    <row r="4912">
      <c r="E4912" s="13" t="n"/>
    </row>
    <row r="4913">
      <c r="E4913" s="13" t="n"/>
    </row>
    <row r="4914">
      <c r="E4914" s="13" t="n"/>
    </row>
    <row r="4915">
      <c r="E4915" s="13" t="n"/>
    </row>
    <row r="4916">
      <c r="E4916" s="13" t="n"/>
    </row>
    <row r="4917">
      <c r="E4917" s="13" t="n"/>
    </row>
    <row r="4918">
      <c r="E4918" s="13" t="n"/>
    </row>
    <row r="4919">
      <c r="E4919" s="13" t="n"/>
    </row>
    <row r="4920">
      <c r="E4920" s="13" t="n"/>
    </row>
    <row r="4921">
      <c r="E4921" s="13" t="n"/>
    </row>
    <row r="4922">
      <c r="E4922" s="13" t="n"/>
    </row>
    <row r="4923">
      <c r="E4923" s="13" t="n"/>
    </row>
    <row r="4924">
      <c r="E4924" s="13" t="n"/>
    </row>
    <row r="4925">
      <c r="E4925" s="13" t="n"/>
    </row>
    <row r="4926">
      <c r="E4926" s="13" t="n"/>
    </row>
    <row r="4927">
      <c r="E4927" s="13" t="n"/>
    </row>
    <row r="4928">
      <c r="E4928" s="13" t="n"/>
    </row>
    <row r="4929">
      <c r="E4929" s="13" t="n"/>
    </row>
    <row r="4930">
      <c r="E4930" s="13" t="n"/>
    </row>
    <row r="4931">
      <c r="E4931" s="13" t="n"/>
    </row>
    <row r="4932">
      <c r="E4932" s="13" t="n"/>
    </row>
    <row r="4933">
      <c r="E4933" s="13" t="n"/>
    </row>
    <row r="4934">
      <c r="E4934" s="13" t="n"/>
    </row>
    <row r="4935">
      <c r="E4935" s="13" t="n"/>
    </row>
    <row r="4936">
      <c r="E4936" s="13" t="n"/>
    </row>
    <row r="4937">
      <c r="E4937" s="13" t="n"/>
    </row>
    <row r="4938">
      <c r="E4938" s="13" t="n"/>
    </row>
    <row r="4939">
      <c r="E4939" s="13" t="n"/>
    </row>
    <row r="4940">
      <c r="E4940" s="13" t="n"/>
    </row>
    <row r="4941">
      <c r="E4941" s="13" t="n"/>
    </row>
    <row r="4942">
      <c r="E4942" s="13" t="n"/>
    </row>
    <row r="4943">
      <c r="E4943" s="13" t="n"/>
    </row>
    <row r="4944">
      <c r="E4944" s="13" t="n"/>
    </row>
    <row r="4945">
      <c r="E4945" s="13" t="n"/>
    </row>
    <row r="4946">
      <c r="E4946" s="13" t="n"/>
    </row>
    <row r="4947">
      <c r="E4947" s="13" t="n"/>
    </row>
    <row r="4948">
      <c r="E4948" s="13" t="n"/>
    </row>
    <row r="4949">
      <c r="E4949" s="13" t="n"/>
    </row>
    <row r="4950">
      <c r="E4950" s="13" t="n"/>
    </row>
    <row r="4951">
      <c r="E4951" s="13" t="n"/>
    </row>
    <row r="4952">
      <c r="E4952" s="13" t="n"/>
    </row>
    <row r="4953">
      <c r="E4953" s="13" t="n"/>
    </row>
    <row r="4954">
      <c r="E4954" s="13" t="n"/>
    </row>
    <row r="4955">
      <c r="E4955" s="13" t="n"/>
    </row>
    <row r="4956">
      <c r="E4956" s="13" t="n"/>
    </row>
    <row r="4957">
      <c r="E4957" s="13" t="n"/>
    </row>
    <row r="4958">
      <c r="E4958" s="13" t="n"/>
    </row>
    <row r="4959">
      <c r="E4959" s="13" t="n"/>
    </row>
    <row r="4960">
      <c r="E4960" s="13" t="n"/>
    </row>
    <row r="4961">
      <c r="E4961" s="13" t="n"/>
    </row>
    <row r="4962">
      <c r="E4962" s="13" t="n"/>
    </row>
    <row r="4963">
      <c r="E4963" s="13" t="n"/>
    </row>
    <row r="4964">
      <c r="E4964" s="13" t="n"/>
    </row>
    <row r="4965">
      <c r="E4965" s="13" t="n"/>
    </row>
    <row r="4966">
      <c r="E4966" s="13" t="n"/>
    </row>
    <row r="4967">
      <c r="E4967" s="13" t="n"/>
    </row>
    <row r="4968">
      <c r="E4968" s="13" t="n"/>
    </row>
    <row r="4969">
      <c r="E4969" s="13" t="n"/>
    </row>
    <row r="4970">
      <c r="E4970" s="13" t="n"/>
    </row>
    <row r="4971">
      <c r="E4971" s="13" t="n"/>
    </row>
    <row r="4972">
      <c r="E4972" s="13" t="n"/>
    </row>
    <row r="4973">
      <c r="E4973" s="13" t="n"/>
    </row>
    <row r="4974">
      <c r="E4974" s="13" t="n"/>
    </row>
    <row r="4975">
      <c r="E4975" s="13" t="n"/>
    </row>
    <row r="4976">
      <c r="E4976" s="13" t="n"/>
    </row>
    <row r="4977">
      <c r="E4977" s="13" t="n"/>
    </row>
    <row r="4978">
      <c r="E4978" s="13" t="n"/>
    </row>
    <row r="4979">
      <c r="E4979" s="13" t="n"/>
    </row>
    <row r="4980">
      <c r="E4980" s="13" t="n"/>
    </row>
    <row r="4981">
      <c r="E4981" s="13" t="n"/>
    </row>
    <row r="4982">
      <c r="E4982" s="13" t="n"/>
    </row>
    <row r="4983">
      <c r="E4983" s="13" t="n"/>
    </row>
    <row r="4984">
      <c r="E4984" s="13" t="n"/>
    </row>
    <row r="4985">
      <c r="E4985" s="13" t="n"/>
    </row>
    <row r="4986">
      <c r="E4986" s="13" t="n"/>
    </row>
    <row r="4987">
      <c r="E4987" s="13" t="n"/>
    </row>
    <row r="4988">
      <c r="E4988" s="13" t="n"/>
    </row>
    <row r="4989">
      <c r="E4989" s="13" t="n"/>
    </row>
    <row r="4990">
      <c r="E4990" s="13" t="n"/>
    </row>
    <row r="4991">
      <c r="E4991" s="13" t="n"/>
    </row>
    <row r="4992">
      <c r="E4992" s="13" t="n"/>
    </row>
    <row r="4993">
      <c r="E4993" s="13" t="n"/>
    </row>
    <row r="4994">
      <c r="E4994" s="13" t="n"/>
    </row>
    <row r="4995">
      <c r="E4995" s="13" t="n"/>
    </row>
    <row r="4996">
      <c r="E4996" s="13" t="n"/>
    </row>
    <row r="4997">
      <c r="E4997" s="13" t="n"/>
    </row>
    <row r="4998">
      <c r="E4998" s="13" t="n"/>
    </row>
    <row r="4999">
      <c r="E4999" s="13" t="n"/>
    </row>
    <row r="5000">
      <c r="E5000" s="13" t="n"/>
    </row>
  </sheetData>
  <autoFilter ref="A1:F5000"/>
  <dataValidations count="2">
    <dataValidation sqref="A2:A5000" showDropDown="0" showInputMessage="0" showErrorMessage="0" allowBlank="1" type="list" errorStyle="warning">
      <formula1>PersonelAdlari</formula1>
    </dataValidation>
    <dataValidation sqref="D2:D5000" showDropDown="0" showInputMessage="0" showErrorMessage="0" allowBlank="1" type="list">
      <formula1>"Ocak,Şubat,Mart,Nisan,Mayıs,Haziran,Temmuz,Ağustos,Eylül,Ekim,Kasım,Aralık"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B1:E15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6" customWidth="1" min="5" max="5"/>
  </cols>
  <sheetData>
    <row r="1">
      <c r="B1" s="14" t="inlineStr">
        <is>
          <t>AY SONU KESİNTİ PANELİ</t>
        </is>
      </c>
    </row>
    <row r="3">
      <c r="B3" s="15" t="inlineStr">
        <is>
          <t>Kesinti Yılı:</t>
        </is>
      </c>
      <c r="C3" s="16" t="n">
        <v>2026</v>
      </c>
    </row>
    <row r="4">
      <c r="B4" s="15" t="inlineStr">
        <is>
          <t>Kesinti Ayı:</t>
        </is>
      </c>
      <c r="C4" s="16" t="inlineStr">
        <is>
          <t>Haziran</t>
        </is>
      </c>
    </row>
    <row r="6">
      <c r="B6" s="15" t="inlineStr">
        <is>
          <t>Bu ay kesilecek toplam (önizleme):</t>
        </is>
      </c>
      <c r="C6" s="17">
        <f>SUM('İCRA DOSYALARI'!$N$2:$N$300)</f>
        <v/>
      </c>
    </row>
    <row r="8">
      <c r="B8" s="2" t="inlineStr">
        <is>
          <t>Yıl ve ayı seçin, sonra aşağıdaki BUTON ALANI'ndaki 'KESİNTİLERİ HESAPLA ve KAYDET' butonuna basın. Makro kurulu değilse önce KULLANIM sayfasındaki 5 adımı yapın (butonlar Alt+F8 &gt; BUTONLARI_KUR ile gelir). Butonsuz kullanım: Alt+F8 &gt; KESINTILERI_KAYDET.</t>
        </is>
      </c>
    </row>
    <row r="9"/>
    <row r="11">
      <c r="B11" s="18" t="inlineStr">
        <is>
          <t>BUTON ALANI
(Alt+F8 &gt; BUTONLARI_KUR çalıştırınca butonlar buraya eklenir)</t>
        </is>
      </c>
    </row>
    <row r="12"/>
    <row r="13"/>
    <row r="14"/>
    <row r="15"/>
  </sheetData>
  <mergeCells count="2">
    <mergeCell ref="B11:E15"/>
    <mergeCell ref="B8:E9"/>
  </mergeCells>
  <dataValidations count="2">
    <dataValidation sqref="C3" showDropDown="0" showInputMessage="0" showErrorMessage="0" allowBlank="0" error="2020-2100 arası bir yıl girin." type="whole" operator="between">
      <formula1>2020</formula1>
      <formula2>2100</formula2>
    </dataValidation>
    <dataValidation sqref="C4" showDropDown="0" showInputMessage="0" showErrorMessage="0" allowBlank="0" type="list">
      <formula1>"Ocak,Şubat,Mart,Nisan,Mayıs,Haziran,Temmuz,Ağustos,Eylül,Ekim,Kasım,Aralık"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1" customWidth="1" min="3" max="3"/>
    <col width="17" customWidth="1" min="4" max="4"/>
    <col width="18" customWidth="1" min="5" max="5"/>
    <col width="17" customWidth="1" min="6" max="6"/>
    <col width="17" customWidth="1" min="7" max="7"/>
    <col width="18" customWidth="1" min="8" max="8"/>
    <col width="14" customWidth="1" min="9" max="9"/>
  </cols>
  <sheetData>
    <row r="1" ht="34" customHeight="1">
      <c r="A1" s="6" t="inlineStr">
        <is>
          <t>Personel Adı Soyadı</t>
        </is>
      </c>
      <c r="B1" s="11" t="inlineStr">
        <is>
          <t>Net Maaş (TL)</t>
        </is>
      </c>
      <c r="C1" s="11" t="inlineStr">
        <is>
          <t>Dosya Sayısı</t>
        </is>
      </c>
      <c r="D1" s="11" t="inlineStr">
        <is>
          <t>Toplam İcra Tutarı (TL)</t>
        </is>
      </c>
      <c r="E1" s="11" t="inlineStr">
        <is>
          <t>Toplam Tahsil Edilen (TL)</t>
        </is>
      </c>
      <c r="F1" s="11" t="inlineStr">
        <is>
          <t>Toplam Kalan Borç (TL)</t>
        </is>
      </c>
      <c r="G1" s="11" t="inlineStr">
        <is>
          <t>Ödemedeki Dosya No</t>
        </is>
      </c>
      <c r="H1" s="11" t="inlineStr">
        <is>
          <t>Ödemedeki Dosyanın Kalanı (TL)</t>
        </is>
      </c>
      <c r="I1" s="11" t="inlineStr">
        <is>
          <t>Bu Ay Kesilecek (TL)</t>
        </is>
      </c>
    </row>
    <row r="2">
      <c r="A2" s="7" t="inlineStr">
        <is>
          <t>MERT TÜZE</t>
        </is>
      </c>
      <c r="B2" s="9">
        <f>IF($A2="","",IFERROR(VLOOKUP($A2,PERSONEL!$A$2:$C$300,3,0),""))</f>
        <v/>
      </c>
      <c r="C2" s="7">
        <f>IF($A2="","",COUNTIF('İCRA DOSYALARI'!$A$2:$A$300,$A2))</f>
        <v/>
      </c>
      <c r="D2" s="9">
        <f>IF($A2="","",SUMIF('İCRA DOSYALARI'!$A$2:$A$300,$A2,'İCRA DOSYALARI'!$I$2:$I$300))</f>
        <v/>
      </c>
      <c r="E2" s="9">
        <f>IF($A2="","",SUMIF('İCRA DOSYALARI'!$A$2:$A$300,$A2,'İCRA DOSYALARI'!$Q$2:$Q$300))</f>
        <v/>
      </c>
      <c r="F2" s="9">
        <f>IF($A2="","",SUMIF('İCRA DOSYALARI'!$A$2:$A$300,$A2,'İCRA DOSYALARI'!$R$2:$R$300))</f>
        <v/>
      </c>
      <c r="G2" s="7">
        <f>IF($A2="","",IFERROR(INDEX('İCRA DOSYALARI'!$E$2:$E$300,MATCH($A2&amp;"|ÖDEMEDE",'İCRA DOSYALARI'!$V$2:$V$300,0)),"-"))</f>
        <v/>
      </c>
      <c r="H2" s="9">
        <f>IF($A2="","",IFERROR(INDEX('İCRA DOSYALARI'!$R$2:$R$300,MATCH($A2&amp;"|ÖDEMEDE",'İCRA DOSYALARI'!$V$2:$V$300,0)),"-"))</f>
        <v/>
      </c>
      <c r="I2" s="9">
        <f>IF($A2="","",SUMIF('İCRA DOSYALARI'!$A$2:$A$300,$A2,'İCRA DOSYALARI'!$N$2:$N$300))</f>
        <v/>
      </c>
    </row>
    <row r="3">
      <c r="A3" s="7" t="inlineStr">
        <is>
          <t>AHMET BAŞOĞLU</t>
        </is>
      </c>
      <c r="B3" s="9">
        <f>IF($A3="","",IFERROR(VLOOKUP($A3,PERSONEL!$A$2:$C$300,3,0),""))</f>
        <v/>
      </c>
      <c r="C3" s="7">
        <f>IF($A3="","",COUNTIF('İCRA DOSYALARI'!$A$2:$A$300,$A3))</f>
        <v/>
      </c>
      <c r="D3" s="9">
        <f>IF($A3="","",SUMIF('İCRA DOSYALARI'!$A$2:$A$300,$A3,'İCRA DOSYALARI'!$I$2:$I$300))</f>
        <v/>
      </c>
      <c r="E3" s="9">
        <f>IF($A3="","",SUMIF('İCRA DOSYALARI'!$A$2:$A$300,$A3,'İCRA DOSYALARI'!$Q$2:$Q$300))</f>
        <v/>
      </c>
      <c r="F3" s="9">
        <f>IF($A3="","",SUMIF('İCRA DOSYALARI'!$A$2:$A$300,$A3,'İCRA DOSYALARI'!$R$2:$R$300))</f>
        <v/>
      </c>
      <c r="G3" s="7">
        <f>IF($A3="","",IFERROR(INDEX('İCRA DOSYALARI'!$E$2:$E$300,MATCH($A3&amp;"|ÖDEMEDE",'İCRA DOSYALARI'!$V$2:$V$300,0)),"-"))</f>
        <v/>
      </c>
      <c r="H3" s="9">
        <f>IF($A3="","",IFERROR(INDEX('İCRA DOSYALARI'!$R$2:$R$300,MATCH($A3&amp;"|ÖDEMEDE",'İCRA DOSYALARI'!$V$2:$V$300,0)),"-"))</f>
        <v/>
      </c>
      <c r="I3" s="9">
        <f>IF($A3="","",SUMIF('İCRA DOSYALARI'!$A$2:$A$300,$A3,'İCRA DOSYALARI'!$N$2:$N$300))</f>
        <v/>
      </c>
    </row>
    <row r="4">
      <c r="A4" s="7" t="n"/>
      <c r="B4" s="9">
        <f>IF($A4="","",IFERROR(VLOOKUP($A4,PERSONEL!$A$2:$C$300,3,0),""))</f>
        <v/>
      </c>
      <c r="C4" s="7">
        <f>IF($A4="","",COUNTIF('İCRA DOSYALARI'!$A$2:$A$300,$A4))</f>
        <v/>
      </c>
      <c r="D4" s="9">
        <f>IF($A4="","",SUMIF('İCRA DOSYALARI'!$A$2:$A$300,$A4,'İCRA DOSYALARI'!$I$2:$I$300))</f>
        <v/>
      </c>
      <c r="E4" s="9">
        <f>IF($A4="","",SUMIF('İCRA DOSYALARI'!$A$2:$A$300,$A4,'İCRA DOSYALARI'!$Q$2:$Q$300))</f>
        <v/>
      </c>
      <c r="F4" s="9">
        <f>IF($A4="","",SUMIF('İCRA DOSYALARI'!$A$2:$A$300,$A4,'İCRA DOSYALARI'!$R$2:$R$300))</f>
        <v/>
      </c>
      <c r="G4" s="7">
        <f>IF($A4="","",IFERROR(INDEX('İCRA DOSYALARI'!$E$2:$E$300,MATCH($A4&amp;"|ÖDEMEDE",'İCRA DOSYALARI'!$V$2:$V$300,0)),"-"))</f>
        <v/>
      </c>
      <c r="H4" s="9">
        <f>IF($A4="","",IFERROR(INDEX('İCRA DOSYALARI'!$R$2:$R$300,MATCH($A4&amp;"|ÖDEMEDE",'İCRA DOSYALARI'!$V$2:$V$300,0)),"-"))</f>
        <v/>
      </c>
      <c r="I4" s="9">
        <f>IF($A4="","",SUMIF('İCRA DOSYALARI'!$A$2:$A$300,$A4,'İCRA DOSYALARI'!$N$2:$N$300))</f>
        <v/>
      </c>
    </row>
    <row r="5">
      <c r="A5" s="7" t="n"/>
      <c r="B5" s="9">
        <f>IF($A5="","",IFERROR(VLOOKUP($A5,PERSONEL!$A$2:$C$300,3,0),""))</f>
        <v/>
      </c>
      <c r="C5" s="7">
        <f>IF($A5="","",COUNTIF('İCRA DOSYALARI'!$A$2:$A$300,$A5))</f>
        <v/>
      </c>
      <c r="D5" s="9">
        <f>IF($A5="","",SUMIF('İCRA DOSYALARI'!$A$2:$A$300,$A5,'İCRA DOSYALARI'!$I$2:$I$300))</f>
        <v/>
      </c>
      <c r="E5" s="9">
        <f>IF($A5="","",SUMIF('İCRA DOSYALARI'!$A$2:$A$300,$A5,'İCRA DOSYALARI'!$Q$2:$Q$300))</f>
        <v/>
      </c>
      <c r="F5" s="9">
        <f>IF($A5="","",SUMIF('İCRA DOSYALARI'!$A$2:$A$300,$A5,'İCRA DOSYALARI'!$R$2:$R$300))</f>
        <v/>
      </c>
      <c r="G5" s="7">
        <f>IF($A5="","",IFERROR(INDEX('İCRA DOSYALARI'!$E$2:$E$300,MATCH($A5&amp;"|ÖDEMEDE",'İCRA DOSYALARI'!$V$2:$V$300,0)),"-"))</f>
        <v/>
      </c>
      <c r="H5" s="9">
        <f>IF($A5="","",IFERROR(INDEX('İCRA DOSYALARI'!$R$2:$R$300,MATCH($A5&amp;"|ÖDEMEDE",'İCRA DOSYALARI'!$V$2:$V$300,0)),"-"))</f>
        <v/>
      </c>
      <c r="I5" s="9">
        <f>IF($A5="","",SUMIF('İCRA DOSYALARI'!$A$2:$A$300,$A5,'İCRA DOSYALARI'!$N$2:$N$300))</f>
        <v/>
      </c>
    </row>
    <row r="6">
      <c r="A6" s="7" t="n"/>
      <c r="B6" s="9">
        <f>IF($A6="","",IFERROR(VLOOKUP($A6,PERSONEL!$A$2:$C$300,3,0),""))</f>
        <v/>
      </c>
      <c r="C6" s="7">
        <f>IF($A6="","",COUNTIF('İCRA DOSYALARI'!$A$2:$A$300,$A6))</f>
        <v/>
      </c>
      <c r="D6" s="9">
        <f>IF($A6="","",SUMIF('İCRA DOSYALARI'!$A$2:$A$300,$A6,'İCRA DOSYALARI'!$I$2:$I$300))</f>
        <v/>
      </c>
      <c r="E6" s="9">
        <f>IF($A6="","",SUMIF('İCRA DOSYALARI'!$A$2:$A$300,$A6,'İCRA DOSYALARI'!$Q$2:$Q$300))</f>
        <v/>
      </c>
      <c r="F6" s="9">
        <f>IF($A6="","",SUMIF('İCRA DOSYALARI'!$A$2:$A$300,$A6,'İCRA DOSYALARI'!$R$2:$R$300))</f>
        <v/>
      </c>
      <c r="G6" s="7">
        <f>IF($A6="","",IFERROR(INDEX('İCRA DOSYALARI'!$E$2:$E$300,MATCH($A6&amp;"|ÖDEMEDE",'İCRA DOSYALARI'!$V$2:$V$300,0)),"-"))</f>
        <v/>
      </c>
      <c r="H6" s="9">
        <f>IF($A6="","",IFERROR(INDEX('İCRA DOSYALARI'!$R$2:$R$300,MATCH($A6&amp;"|ÖDEMEDE",'İCRA DOSYALARI'!$V$2:$V$300,0)),"-"))</f>
        <v/>
      </c>
      <c r="I6" s="9">
        <f>IF($A6="","",SUMIF('İCRA DOSYALARI'!$A$2:$A$300,$A6,'İCRA DOSYALARI'!$N$2:$N$300))</f>
        <v/>
      </c>
    </row>
    <row r="7">
      <c r="A7" s="7" t="n"/>
      <c r="B7" s="9">
        <f>IF($A7="","",IFERROR(VLOOKUP($A7,PERSONEL!$A$2:$C$300,3,0),""))</f>
        <v/>
      </c>
      <c r="C7" s="7">
        <f>IF($A7="","",COUNTIF('İCRA DOSYALARI'!$A$2:$A$300,$A7))</f>
        <v/>
      </c>
      <c r="D7" s="9">
        <f>IF($A7="","",SUMIF('İCRA DOSYALARI'!$A$2:$A$300,$A7,'İCRA DOSYALARI'!$I$2:$I$300))</f>
        <v/>
      </c>
      <c r="E7" s="9">
        <f>IF($A7="","",SUMIF('İCRA DOSYALARI'!$A$2:$A$300,$A7,'İCRA DOSYALARI'!$Q$2:$Q$300))</f>
        <v/>
      </c>
      <c r="F7" s="9">
        <f>IF($A7="","",SUMIF('İCRA DOSYALARI'!$A$2:$A$300,$A7,'İCRA DOSYALARI'!$R$2:$R$300))</f>
        <v/>
      </c>
      <c r="G7" s="7">
        <f>IF($A7="","",IFERROR(INDEX('İCRA DOSYALARI'!$E$2:$E$300,MATCH($A7&amp;"|ÖDEMEDE",'İCRA DOSYALARI'!$V$2:$V$300,0)),"-"))</f>
        <v/>
      </c>
      <c r="H7" s="9">
        <f>IF($A7="","",IFERROR(INDEX('İCRA DOSYALARI'!$R$2:$R$300,MATCH($A7&amp;"|ÖDEMEDE",'İCRA DOSYALARI'!$V$2:$V$300,0)),"-"))</f>
        <v/>
      </c>
      <c r="I7" s="9">
        <f>IF($A7="","",SUMIF('İCRA DOSYALARI'!$A$2:$A$300,$A7,'İCRA DOSYALARI'!$N$2:$N$300))</f>
        <v/>
      </c>
    </row>
    <row r="8">
      <c r="A8" s="7" t="n"/>
      <c r="B8" s="9">
        <f>IF($A8="","",IFERROR(VLOOKUP($A8,PERSONEL!$A$2:$C$300,3,0),""))</f>
        <v/>
      </c>
      <c r="C8" s="7">
        <f>IF($A8="","",COUNTIF('İCRA DOSYALARI'!$A$2:$A$300,$A8))</f>
        <v/>
      </c>
      <c r="D8" s="9">
        <f>IF($A8="","",SUMIF('İCRA DOSYALARI'!$A$2:$A$300,$A8,'İCRA DOSYALARI'!$I$2:$I$300))</f>
        <v/>
      </c>
      <c r="E8" s="9">
        <f>IF($A8="","",SUMIF('İCRA DOSYALARI'!$A$2:$A$300,$A8,'İCRA DOSYALARI'!$Q$2:$Q$300))</f>
        <v/>
      </c>
      <c r="F8" s="9">
        <f>IF($A8="","",SUMIF('İCRA DOSYALARI'!$A$2:$A$300,$A8,'İCRA DOSYALARI'!$R$2:$R$300))</f>
        <v/>
      </c>
      <c r="G8" s="7">
        <f>IF($A8="","",IFERROR(INDEX('İCRA DOSYALARI'!$E$2:$E$300,MATCH($A8&amp;"|ÖDEMEDE",'İCRA DOSYALARI'!$V$2:$V$300,0)),"-"))</f>
        <v/>
      </c>
      <c r="H8" s="9">
        <f>IF($A8="","",IFERROR(INDEX('İCRA DOSYALARI'!$R$2:$R$300,MATCH($A8&amp;"|ÖDEMEDE",'İCRA DOSYALARI'!$V$2:$V$300,0)),"-"))</f>
        <v/>
      </c>
      <c r="I8" s="9">
        <f>IF($A8="","",SUMIF('İCRA DOSYALARI'!$A$2:$A$300,$A8,'İCRA DOSYALARI'!$N$2:$N$300))</f>
        <v/>
      </c>
    </row>
    <row r="9">
      <c r="A9" s="7" t="n"/>
      <c r="B9" s="9">
        <f>IF($A9="","",IFERROR(VLOOKUP($A9,PERSONEL!$A$2:$C$300,3,0),""))</f>
        <v/>
      </c>
      <c r="C9" s="7">
        <f>IF($A9="","",COUNTIF('İCRA DOSYALARI'!$A$2:$A$300,$A9))</f>
        <v/>
      </c>
      <c r="D9" s="9">
        <f>IF($A9="","",SUMIF('İCRA DOSYALARI'!$A$2:$A$300,$A9,'İCRA DOSYALARI'!$I$2:$I$300))</f>
        <v/>
      </c>
      <c r="E9" s="9">
        <f>IF($A9="","",SUMIF('İCRA DOSYALARI'!$A$2:$A$300,$A9,'İCRA DOSYALARI'!$Q$2:$Q$300))</f>
        <v/>
      </c>
      <c r="F9" s="9">
        <f>IF($A9="","",SUMIF('İCRA DOSYALARI'!$A$2:$A$300,$A9,'İCRA DOSYALARI'!$R$2:$R$300))</f>
        <v/>
      </c>
      <c r="G9" s="7">
        <f>IF($A9="","",IFERROR(INDEX('İCRA DOSYALARI'!$E$2:$E$300,MATCH($A9&amp;"|ÖDEMEDE",'İCRA DOSYALARI'!$V$2:$V$300,0)),"-"))</f>
        <v/>
      </c>
      <c r="H9" s="9">
        <f>IF($A9="","",IFERROR(INDEX('İCRA DOSYALARI'!$R$2:$R$300,MATCH($A9&amp;"|ÖDEMEDE",'İCRA DOSYALARI'!$V$2:$V$300,0)),"-"))</f>
        <v/>
      </c>
      <c r="I9" s="9">
        <f>IF($A9="","",SUMIF('İCRA DOSYALARI'!$A$2:$A$300,$A9,'İCRA DOSYALARI'!$N$2:$N$300))</f>
        <v/>
      </c>
    </row>
    <row r="10">
      <c r="A10" s="7" t="n"/>
      <c r="B10" s="9">
        <f>IF($A10="","",IFERROR(VLOOKUP($A10,PERSONEL!$A$2:$C$300,3,0),""))</f>
        <v/>
      </c>
      <c r="C10" s="7">
        <f>IF($A10="","",COUNTIF('İCRA DOSYALARI'!$A$2:$A$300,$A10))</f>
        <v/>
      </c>
      <c r="D10" s="9">
        <f>IF($A10="","",SUMIF('İCRA DOSYALARI'!$A$2:$A$300,$A10,'İCRA DOSYALARI'!$I$2:$I$300))</f>
        <v/>
      </c>
      <c r="E10" s="9">
        <f>IF($A10="","",SUMIF('İCRA DOSYALARI'!$A$2:$A$300,$A10,'İCRA DOSYALARI'!$Q$2:$Q$300))</f>
        <v/>
      </c>
      <c r="F10" s="9">
        <f>IF($A10="","",SUMIF('İCRA DOSYALARI'!$A$2:$A$300,$A10,'İCRA DOSYALARI'!$R$2:$R$300))</f>
        <v/>
      </c>
      <c r="G10" s="7">
        <f>IF($A10="","",IFERROR(INDEX('İCRA DOSYALARI'!$E$2:$E$300,MATCH($A10&amp;"|ÖDEMEDE",'İCRA DOSYALARI'!$V$2:$V$300,0)),"-"))</f>
        <v/>
      </c>
      <c r="H10" s="9">
        <f>IF($A10="","",IFERROR(INDEX('İCRA DOSYALARI'!$R$2:$R$300,MATCH($A10&amp;"|ÖDEMEDE",'İCRA DOSYALARI'!$V$2:$V$300,0)),"-"))</f>
        <v/>
      </c>
      <c r="I10" s="9">
        <f>IF($A10="","",SUMIF('İCRA DOSYALARI'!$A$2:$A$300,$A10,'İCRA DOSYALARI'!$N$2:$N$300))</f>
        <v/>
      </c>
    </row>
    <row r="11">
      <c r="A11" s="7" t="n"/>
      <c r="B11" s="9">
        <f>IF($A11="","",IFERROR(VLOOKUP($A11,PERSONEL!$A$2:$C$300,3,0),""))</f>
        <v/>
      </c>
      <c r="C11" s="7">
        <f>IF($A11="","",COUNTIF('İCRA DOSYALARI'!$A$2:$A$300,$A11))</f>
        <v/>
      </c>
      <c r="D11" s="9">
        <f>IF($A11="","",SUMIF('İCRA DOSYALARI'!$A$2:$A$300,$A11,'İCRA DOSYALARI'!$I$2:$I$300))</f>
        <v/>
      </c>
      <c r="E11" s="9">
        <f>IF($A11="","",SUMIF('İCRA DOSYALARI'!$A$2:$A$300,$A11,'İCRA DOSYALARI'!$Q$2:$Q$300))</f>
        <v/>
      </c>
      <c r="F11" s="9">
        <f>IF($A11="","",SUMIF('İCRA DOSYALARI'!$A$2:$A$300,$A11,'İCRA DOSYALARI'!$R$2:$R$300))</f>
        <v/>
      </c>
      <c r="G11" s="7">
        <f>IF($A11="","",IFERROR(INDEX('İCRA DOSYALARI'!$E$2:$E$300,MATCH($A11&amp;"|ÖDEMEDE",'İCRA DOSYALARI'!$V$2:$V$300,0)),"-"))</f>
        <v/>
      </c>
      <c r="H11" s="9">
        <f>IF($A11="","",IFERROR(INDEX('İCRA DOSYALARI'!$R$2:$R$300,MATCH($A11&amp;"|ÖDEMEDE",'İCRA DOSYALARI'!$V$2:$V$300,0)),"-"))</f>
        <v/>
      </c>
      <c r="I11" s="9">
        <f>IF($A11="","",SUMIF('İCRA DOSYALARI'!$A$2:$A$300,$A11,'İCRA DOSYALARI'!$N$2:$N$300))</f>
        <v/>
      </c>
    </row>
    <row r="12">
      <c r="A12" s="7" t="n"/>
      <c r="B12" s="9">
        <f>IF($A12="","",IFERROR(VLOOKUP($A12,PERSONEL!$A$2:$C$300,3,0),""))</f>
        <v/>
      </c>
      <c r="C12" s="7">
        <f>IF($A12="","",COUNTIF('İCRA DOSYALARI'!$A$2:$A$300,$A12))</f>
        <v/>
      </c>
      <c r="D12" s="9">
        <f>IF($A12="","",SUMIF('İCRA DOSYALARI'!$A$2:$A$300,$A12,'İCRA DOSYALARI'!$I$2:$I$300))</f>
        <v/>
      </c>
      <c r="E12" s="9">
        <f>IF($A12="","",SUMIF('İCRA DOSYALARI'!$A$2:$A$300,$A12,'İCRA DOSYALARI'!$Q$2:$Q$300))</f>
        <v/>
      </c>
      <c r="F12" s="9">
        <f>IF($A12="","",SUMIF('İCRA DOSYALARI'!$A$2:$A$300,$A12,'İCRA DOSYALARI'!$R$2:$R$300))</f>
        <v/>
      </c>
      <c r="G12" s="7">
        <f>IF($A12="","",IFERROR(INDEX('İCRA DOSYALARI'!$E$2:$E$300,MATCH($A12&amp;"|ÖDEMEDE",'İCRA DOSYALARI'!$V$2:$V$300,0)),"-"))</f>
        <v/>
      </c>
      <c r="H12" s="9">
        <f>IF($A12="","",IFERROR(INDEX('İCRA DOSYALARI'!$R$2:$R$300,MATCH($A12&amp;"|ÖDEMEDE",'İCRA DOSYALARI'!$V$2:$V$300,0)),"-"))</f>
        <v/>
      </c>
      <c r="I12" s="9">
        <f>IF($A12="","",SUMIF('İCRA DOSYALARI'!$A$2:$A$300,$A12,'İCRA DOSYALARI'!$N$2:$N$300))</f>
        <v/>
      </c>
    </row>
    <row r="13">
      <c r="A13" s="7" t="n"/>
      <c r="B13" s="9">
        <f>IF($A13="","",IFERROR(VLOOKUP($A13,PERSONEL!$A$2:$C$300,3,0),""))</f>
        <v/>
      </c>
      <c r="C13" s="7">
        <f>IF($A13="","",COUNTIF('İCRA DOSYALARI'!$A$2:$A$300,$A13))</f>
        <v/>
      </c>
      <c r="D13" s="9">
        <f>IF($A13="","",SUMIF('İCRA DOSYALARI'!$A$2:$A$300,$A13,'İCRA DOSYALARI'!$I$2:$I$300))</f>
        <v/>
      </c>
      <c r="E13" s="9">
        <f>IF($A13="","",SUMIF('İCRA DOSYALARI'!$A$2:$A$300,$A13,'İCRA DOSYALARI'!$Q$2:$Q$300))</f>
        <v/>
      </c>
      <c r="F13" s="9">
        <f>IF($A13="","",SUMIF('İCRA DOSYALARI'!$A$2:$A$300,$A13,'İCRA DOSYALARI'!$R$2:$R$300))</f>
        <v/>
      </c>
      <c r="G13" s="7">
        <f>IF($A13="","",IFERROR(INDEX('İCRA DOSYALARI'!$E$2:$E$300,MATCH($A13&amp;"|ÖDEMEDE",'İCRA DOSYALARI'!$V$2:$V$300,0)),"-"))</f>
        <v/>
      </c>
      <c r="H13" s="9">
        <f>IF($A13="","",IFERROR(INDEX('İCRA DOSYALARI'!$R$2:$R$300,MATCH($A13&amp;"|ÖDEMEDE",'İCRA DOSYALARI'!$V$2:$V$300,0)),"-"))</f>
        <v/>
      </c>
      <c r="I13" s="9">
        <f>IF($A13="","",SUMIF('İCRA DOSYALARI'!$A$2:$A$300,$A13,'İCRA DOSYALARI'!$N$2:$N$300))</f>
        <v/>
      </c>
    </row>
    <row r="14">
      <c r="A14" s="7" t="n"/>
      <c r="B14" s="9">
        <f>IF($A14="","",IFERROR(VLOOKUP($A14,PERSONEL!$A$2:$C$300,3,0),""))</f>
        <v/>
      </c>
      <c r="C14" s="7">
        <f>IF($A14="","",COUNTIF('İCRA DOSYALARI'!$A$2:$A$300,$A14))</f>
        <v/>
      </c>
      <c r="D14" s="9">
        <f>IF($A14="","",SUMIF('İCRA DOSYALARI'!$A$2:$A$300,$A14,'İCRA DOSYALARI'!$I$2:$I$300))</f>
        <v/>
      </c>
      <c r="E14" s="9">
        <f>IF($A14="","",SUMIF('İCRA DOSYALARI'!$A$2:$A$300,$A14,'İCRA DOSYALARI'!$Q$2:$Q$300))</f>
        <v/>
      </c>
      <c r="F14" s="9">
        <f>IF($A14="","",SUMIF('İCRA DOSYALARI'!$A$2:$A$300,$A14,'İCRA DOSYALARI'!$R$2:$R$300))</f>
        <v/>
      </c>
      <c r="G14" s="7">
        <f>IF($A14="","",IFERROR(INDEX('İCRA DOSYALARI'!$E$2:$E$300,MATCH($A14&amp;"|ÖDEMEDE",'İCRA DOSYALARI'!$V$2:$V$300,0)),"-"))</f>
        <v/>
      </c>
      <c r="H14" s="9">
        <f>IF($A14="","",IFERROR(INDEX('İCRA DOSYALARI'!$R$2:$R$300,MATCH($A14&amp;"|ÖDEMEDE",'İCRA DOSYALARI'!$V$2:$V$300,0)),"-"))</f>
        <v/>
      </c>
      <c r="I14" s="9">
        <f>IF($A14="","",SUMIF('İCRA DOSYALARI'!$A$2:$A$300,$A14,'İCRA DOSYALARI'!$N$2:$N$300))</f>
        <v/>
      </c>
    </row>
    <row r="15">
      <c r="A15" s="7" t="n"/>
      <c r="B15" s="9">
        <f>IF($A15="","",IFERROR(VLOOKUP($A15,PERSONEL!$A$2:$C$300,3,0),""))</f>
        <v/>
      </c>
      <c r="C15" s="7">
        <f>IF($A15="","",COUNTIF('İCRA DOSYALARI'!$A$2:$A$300,$A15))</f>
        <v/>
      </c>
      <c r="D15" s="9">
        <f>IF($A15="","",SUMIF('İCRA DOSYALARI'!$A$2:$A$300,$A15,'İCRA DOSYALARI'!$I$2:$I$300))</f>
        <v/>
      </c>
      <c r="E15" s="9">
        <f>IF($A15="","",SUMIF('İCRA DOSYALARI'!$A$2:$A$300,$A15,'İCRA DOSYALARI'!$Q$2:$Q$300))</f>
        <v/>
      </c>
      <c r="F15" s="9">
        <f>IF($A15="","",SUMIF('İCRA DOSYALARI'!$A$2:$A$300,$A15,'İCRA DOSYALARI'!$R$2:$R$300))</f>
        <v/>
      </c>
      <c r="G15" s="7">
        <f>IF($A15="","",IFERROR(INDEX('İCRA DOSYALARI'!$E$2:$E$300,MATCH($A15&amp;"|ÖDEMEDE",'İCRA DOSYALARI'!$V$2:$V$300,0)),"-"))</f>
        <v/>
      </c>
      <c r="H15" s="9">
        <f>IF($A15="","",IFERROR(INDEX('İCRA DOSYALARI'!$R$2:$R$300,MATCH($A15&amp;"|ÖDEMEDE",'İCRA DOSYALARI'!$V$2:$V$300,0)),"-"))</f>
        <v/>
      </c>
      <c r="I15" s="9">
        <f>IF($A15="","",SUMIF('İCRA DOSYALARI'!$A$2:$A$300,$A15,'İCRA DOSYALARI'!$N$2:$N$300))</f>
        <v/>
      </c>
    </row>
    <row r="16">
      <c r="A16" s="7" t="n"/>
      <c r="B16" s="9">
        <f>IF($A16="","",IFERROR(VLOOKUP($A16,PERSONEL!$A$2:$C$300,3,0),""))</f>
        <v/>
      </c>
      <c r="C16" s="7">
        <f>IF($A16="","",COUNTIF('İCRA DOSYALARI'!$A$2:$A$300,$A16))</f>
        <v/>
      </c>
      <c r="D16" s="9">
        <f>IF($A16="","",SUMIF('İCRA DOSYALARI'!$A$2:$A$300,$A16,'İCRA DOSYALARI'!$I$2:$I$300))</f>
        <v/>
      </c>
      <c r="E16" s="9">
        <f>IF($A16="","",SUMIF('İCRA DOSYALARI'!$A$2:$A$300,$A16,'İCRA DOSYALARI'!$Q$2:$Q$300))</f>
        <v/>
      </c>
      <c r="F16" s="9">
        <f>IF($A16="","",SUMIF('İCRA DOSYALARI'!$A$2:$A$300,$A16,'İCRA DOSYALARI'!$R$2:$R$300))</f>
        <v/>
      </c>
      <c r="G16" s="7">
        <f>IF($A16="","",IFERROR(INDEX('İCRA DOSYALARI'!$E$2:$E$300,MATCH($A16&amp;"|ÖDEMEDE",'İCRA DOSYALARI'!$V$2:$V$300,0)),"-"))</f>
        <v/>
      </c>
      <c r="H16" s="9">
        <f>IF($A16="","",IFERROR(INDEX('İCRA DOSYALARI'!$R$2:$R$300,MATCH($A16&amp;"|ÖDEMEDE",'İCRA DOSYALARI'!$V$2:$V$300,0)),"-"))</f>
        <v/>
      </c>
      <c r="I16" s="9">
        <f>IF($A16="","",SUMIF('İCRA DOSYALARI'!$A$2:$A$300,$A16,'İCRA DOSYALARI'!$N$2:$N$300))</f>
        <v/>
      </c>
    </row>
    <row r="17">
      <c r="A17" s="7" t="n"/>
      <c r="B17" s="9">
        <f>IF($A17="","",IFERROR(VLOOKUP($A17,PERSONEL!$A$2:$C$300,3,0),""))</f>
        <v/>
      </c>
      <c r="C17" s="7">
        <f>IF($A17="","",COUNTIF('İCRA DOSYALARI'!$A$2:$A$300,$A17))</f>
        <v/>
      </c>
      <c r="D17" s="9">
        <f>IF($A17="","",SUMIF('İCRA DOSYALARI'!$A$2:$A$300,$A17,'İCRA DOSYALARI'!$I$2:$I$300))</f>
        <v/>
      </c>
      <c r="E17" s="9">
        <f>IF($A17="","",SUMIF('İCRA DOSYALARI'!$A$2:$A$300,$A17,'İCRA DOSYALARI'!$Q$2:$Q$300))</f>
        <v/>
      </c>
      <c r="F17" s="9">
        <f>IF($A17="","",SUMIF('İCRA DOSYALARI'!$A$2:$A$300,$A17,'İCRA DOSYALARI'!$R$2:$R$300))</f>
        <v/>
      </c>
      <c r="G17" s="7">
        <f>IF($A17="","",IFERROR(INDEX('İCRA DOSYALARI'!$E$2:$E$300,MATCH($A17&amp;"|ÖDEMEDE",'İCRA DOSYALARI'!$V$2:$V$300,0)),"-"))</f>
        <v/>
      </c>
      <c r="H17" s="9">
        <f>IF($A17="","",IFERROR(INDEX('İCRA DOSYALARI'!$R$2:$R$300,MATCH($A17&amp;"|ÖDEMEDE",'İCRA DOSYALARI'!$V$2:$V$300,0)),"-"))</f>
        <v/>
      </c>
      <c r="I17" s="9">
        <f>IF($A17="","",SUMIF('İCRA DOSYALARI'!$A$2:$A$300,$A17,'İCRA DOSYALARI'!$N$2:$N$300))</f>
        <v/>
      </c>
    </row>
    <row r="18">
      <c r="A18" s="7" t="n"/>
      <c r="B18" s="9">
        <f>IF($A18="","",IFERROR(VLOOKUP($A18,PERSONEL!$A$2:$C$300,3,0),""))</f>
        <v/>
      </c>
      <c r="C18" s="7">
        <f>IF($A18="","",COUNTIF('İCRA DOSYALARI'!$A$2:$A$300,$A18))</f>
        <v/>
      </c>
      <c r="D18" s="9">
        <f>IF($A18="","",SUMIF('İCRA DOSYALARI'!$A$2:$A$300,$A18,'İCRA DOSYALARI'!$I$2:$I$300))</f>
        <v/>
      </c>
      <c r="E18" s="9">
        <f>IF($A18="","",SUMIF('İCRA DOSYALARI'!$A$2:$A$300,$A18,'İCRA DOSYALARI'!$Q$2:$Q$300))</f>
        <v/>
      </c>
      <c r="F18" s="9">
        <f>IF($A18="","",SUMIF('İCRA DOSYALARI'!$A$2:$A$300,$A18,'İCRA DOSYALARI'!$R$2:$R$300))</f>
        <v/>
      </c>
      <c r="G18" s="7">
        <f>IF($A18="","",IFERROR(INDEX('İCRA DOSYALARI'!$E$2:$E$300,MATCH($A18&amp;"|ÖDEMEDE",'İCRA DOSYALARI'!$V$2:$V$300,0)),"-"))</f>
        <v/>
      </c>
      <c r="H18" s="9">
        <f>IF($A18="","",IFERROR(INDEX('İCRA DOSYALARI'!$R$2:$R$300,MATCH($A18&amp;"|ÖDEMEDE",'İCRA DOSYALARI'!$V$2:$V$300,0)),"-"))</f>
        <v/>
      </c>
      <c r="I18" s="9">
        <f>IF($A18="","",SUMIF('İCRA DOSYALARI'!$A$2:$A$300,$A18,'İCRA DOSYALARI'!$N$2:$N$300))</f>
        <v/>
      </c>
    </row>
    <row r="19">
      <c r="A19" s="7" t="n"/>
      <c r="B19" s="9">
        <f>IF($A19="","",IFERROR(VLOOKUP($A19,PERSONEL!$A$2:$C$300,3,0),""))</f>
        <v/>
      </c>
      <c r="C19" s="7">
        <f>IF($A19="","",COUNTIF('İCRA DOSYALARI'!$A$2:$A$300,$A19))</f>
        <v/>
      </c>
      <c r="D19" s="9">
        <f>IF($A19="","",SUMIF('İCRA DOSYALARI'!$A$2:$A$300,$A19,'İCRA DOSYALARI'!$I$2:$I$300))</f>
        <v/>
      </c>
      <c r="E19" s="9">
        <f>IF($A19="","",SUMIF('İCRA DOSYALARI'!$A$2:$A$300,$A19,'İCRA DOSYALARI'!$Q$2:$Q$300))</f>
        <v/>
      </c>
      <c r="F19" s="9">
        <f>IF($A19="","",SUMIF('İCRA DOSYALARI'!$A$2:$A$300,$A19,'İCRA DOSYALARI'!$R$2:$R$300))</f>
        <v/>
      </c>
      <c r="G19" s="7">
        <f>IF($A19="","",IFERROR(INDEX('İCRA DOSYALARI'!$E$2:$E$300,MATCH($A19&amp;"|ÖDEMEDE",'İCRA DOSYALARI'!$V$2:$V$300,0)),"-"))</f>
        <v/>
      </c>
      <c r="H19" s="9">
        <f>IF($A19="","",IFERROR(INDEX('İCRA DOSYALARI'!$R$2:$R$300,MATCH($A19&amp;"|ÖDEMEDE",'İCRA DOSYALARI'!$V$2:$V$300,0)),"-"))</f>
        <v/>
      </c>
      <c r="I19" s="9">
        <f>IF($A19="","",SUMIF('İCRA DOSYALARI'!$A$2:$A$300,$A19,'İCRA DOSYALARI'!$N$2:$N$300))</f>
        <v/>
      </c>
    </row>
    <row r="20">
      <c r="A20" s="7" t="n"/>
      <c r="B20" s="9">
        <f>IF($A20="","",IFERROR(VLOOKUP($A20,PERSONEL!$A$2:$C$300,3,0),""))</f>
        <v/>
      </c>
      <c r="C20" s="7">
        <f>IF($A20="","",COUNTIF('İCRA DOSYALARI'!$A$2:$A$300,$A20))</f>
        <v/>
      </c>
      <c r="D20" s="9">
        <f>IF($A20="","",SUMIF('İCRA DOSYALARI'!$A$2:$A$300,$A20,'İCRA DOSYALARI'!$I$2:$I$300))</f>
        <v/>
      </c>
      <c r="E20" s="9">
        <f>IF($A20="","",SUMIF('İCRA DOSYALARI'!$A$2:$A$300,$A20,'İCRA DOSYALARI'!$Q$2:$Q$300))</f>
        <v/>
      </c>
      <c r="F20" s="9">
        <f>IF($A20="","",SUMIF('İCRA DOSYALARI'!$A$2:$A$300,$A20,'İCRA DOSYALARI'!$R$2:$R$300))</f>
        <v/>
      </c>
      <c r="G20" s="7">
        <f>IF($A20="","",IFERROR(INDEX('İCRA DOSYALARI'!$E$2:$E$300,MATCH($A20&amp;"|ÖDEMEDE",'İCRA DOSYALARI'!$V$2:$V$300,0)),"-"))</f>
        <v/>
      </c>
      <c r="H20" s="9">
        <f>IF($A20="","",IFERROR(INDEX('İCRA DOSYALARI'!$R$2:$R$300,MATCH($A20&amp;"|ÖDEMEDE",'İCRA DOSYALARI'!$V$2:$V$300,0)),"-"))</f>
        <v/>
      </c>
      <c r="I20" s="9">
        <f>IF($A20="","",SUMIF('İCRA DOSYALARI'!$A$2:$A$300,$A20,'İCRA DOSYALARI'!$N$2:$N$300))</f>
        <v/>
      </c>
    </row>
    <row r="21">
      <c r="A21" s="7" t="n"/>
      <c r="B21" s="9">
        <f>IF($A21="","",IFERROR(VLOOKUP($A21,PERSONEL!$A$2:$C$300,3,0),""))</f>
        <v/>
      </c>
      <c r="C21" s="7">
        <f>IF($A21="","",COUNTIF('İCRA DOSYALARI'!$A$2:$A$300,$A21))</f>
        <v/>
      </c>
      <c r="D21" s="9">
        <f>IF($A21="","",SUMIF('İCRA DOSYALARI'!$A$2:$A$300,$A21,'İCRA DOSYALARI'!$I$2:$I$300))</f>
        <v/>
      </c>
      <c r="E21" s="9">
        <f>IF($A21="","",SUMIF('İCRA DOSYALARI'!$A$2:$A$300,$A21,'İCRA DOSYALARI'!$Q$2:$Q$300))</f>
        <v/>
      </c>
      <c r="F21" s="9">
        <f>IF($A21="","",SUMIF('İCRA DOSYALARI'!$A$2:$A$300,$A21,'İCRA DOSYALARI'!$R$2:$R$300))</f>
        <v/>
      </c>
      <c r="G21" s="7">
        <f>IF($A21="","",IFERROR(INDEX('İCRA DOSYALARI'!$E$2:$E$300,MATCH($A21&amp;"|ÖDEMEDE",'İCRA DOSYALARI'!$V$2:$V$300,0)),"-"))</f>
        <v/>
      </c>
      <c r="H21" s="9">
        <f>IF($A21="","",IFERROR(INDEX('İCRA DOSYALARI'!$R$2:$R$300,MATCH($A21&amp;"|ÖDEMEDE",'İCRA DOSYALARI'!$V$2:$V$300,0)),"-"))</f>
        <v/>
      </c>
      <c r="I21" s="9">
        <f>IF($A21="","",SUMIF('İCRA DOSYALARI'!$A$2:$A$300,$A21,'İCRA DOSYALARI'!$N$2:$N$300))</f>
        <v/>
      </c>
    </row>
    <row r="22">
      <c r="A22" s="7" t="n"/>
      <c r="B22" s="9">
        <f>IF($A22="","",IFERROR(VLOOKUP($A22,PERSONEL!$A$2:$C$300,3,0),""))</f>
        <v/>
      </c>
      <c r="C22" s="7">
        <f>IF($A22="","",COUNTIF('İCRA DOSYALARI'!$A$2:$A$300,$A22))</f>
        <v/>
      </c>
      <c r="D22" s="9">
        <f>IF($A22="","",SUMIF('İCRA DOSYALARI'!$A$2:$A$300,$A22,'İCRA DOSYALARI'!$I$2:$I$300))</f>
        <v/>
      </c>
      <c r="E22" s="9">
        <f>IF($A22="","",SUMIF('İCRA DOSYALARI'!$A$2:$A$300,$A22,'İCRA DOSYALARI'!$Q$2:$Q$300))</f>
        <v/>
      </c>
      <c r="F22" s="9">
        <f>IF($A22="","",SUMIF('İCRA DOSYALARI'!$A$2:$A$300,$A22,'İCRA DOSYALARI'!$R$2:$R$300))</f>
        <v/>
      </c>
      <c r="G22" s="7">
        <f>IF($A22="","",IFERROR(INDEX('İCRA DOSYALARI'!$E$2:$E$300,MATCH($A22&amp;"|ÖDEMEDE",'İCRA DOSYALARI'!$V$2:$V$300,0)),"-"))</f>
        <v/>
      </c>
      <c r="H22" s="9">
        <f>IF($A22="","",IFERROR(INDEX('İCRA DOSYALARI'!$R$2:$R$300,MATCH($A22&amp;"|ÖDEMEDE",'İCRA DOSYALARI'!$V$2:$V$300,0)),"-"))</f>
        <v/>
      </c>
      <c r="I22" s="9">
        <f>IF($A22="","",SUMIF('İCRA DOSYALARI'!$A$2:$A$300,$A22,'İCRA DOSYALARI'!$N$2:$N$300))</f>
        <v/>
      </c>
    </row>
    <row r="23">
      <c r="A23" s="7" t="n"/>
      <c r="B23" s="9">
        <f>IF($A23="","",IFERROR(VLOOKUP($A23,PERSONEL!$A$2:$C$300,3,0),""))</f>
        <v/>
      </c>
      <c r="C23" s="7">
        <f>IF($A23="","",COUNTIF('İCRA DOSYALARI'!$A$2:$A$300,$A23))</f>
        <v/>
      </c>
      <c r="D23" s="9">
        <f>IF($A23="","",SUMIF('İCRA DOSYALARI'!$A$2:$A$300,$A23,'İCRA DOSYALARI'!$I$2:$I$300))</f>
        <v/>
      </c>
      <c r="E23" s="9">
        <f>IF($A23="","",SUMIF('İCRA DOSYALARI'!$A$2:$A$300,$A23,'İCRA DOSYALARI'!$Q$2:$Q$300))</f>
        <v/>
      </c>
      <c r="F23" s="9">
        <f>IF($A23="","",SUMIF('İCRA DOSYALARI'!$A$2:$A$300,$A23,'İCRA DOSYALARI'!$R$2:$R$300))</f>
        <v/>
      </c>
      <c r="G23" s="7">
        <f>IF($A23="","",IFERROR(INDEX('İCRA DOSYALARI'!$E$2:$E$300,MATCH($A23&amp;"|ÖDEMEDE",'İCRA DOSYALARI'!$V$2:$V$300,0)),"-"))</f>
        <v/>
      </c>
      <c r="H23" s="9">
        <f>IF($A23="","",IFERROR(INDEX('İCRA DOSYALARI'!$R$2:$R$300,MATCH($A23&amp;"|ÖDEMEDE",'İCRA DOSYALARI'!$V$2:$V$300,0)),"-"))</f>
        <v/>
      </c>
      <c r="I23" s="9">
        <f>IF($A23="","",SUMIF('İCRA DOSYALARI'!$A$2:$A$300,$A23,'İCRA DOSYALARI'!$N$2:$N$300))</f>
        <v/>
      </c>
    </row>
    <row r="24">
      <c r="A24" s="7" t="n"/>
      <c r="B24" s="9">
        <f>IF($A24="","",IFERROR(VLOOKUP($A24,PERSONEL!$A$2:$C$300,3,0),""))</f>
        <v/>
      </c>
      <c r="C24" s="7">
        <f>IF($A24="","",COUNTIF('İCRA DOSYALARI'!$A$2:$A$300,$A24))</f>
        <v/>
      </c>
      <c r="D24" s="9">
        <f>IF($A24="","",SUMIF('İCRA DOSYALARI'!$A$2:$A$300,$A24,'İCRA DOSYALARI'!$I$2:$I$300))</f>
        <v/>
      </c>
      <c r="E24" s="9">
        <f>IF($A24="","",SUMIF('İCRA DOSYALARI'!$A$2:$A$300,$A24,'İCRA DOSYALARI'!$Q$2:$Q$300))</f>
        <v/>
      </c>
      <c r="F24" s="9">
        <f>IF($A24="","",SUMIF('İCRA DOSYALARI'!$A$2:$A$300,$A24,'İCRA DOSYALARI'!$R$2:$R$300))</f>
        <v/>
      </c>
      <c r="G24" s="7">
        <f>IF($A24="","",IFERROR(INDEX('İCRA DOSYALARI'!$E$2:$E$300,MATCH($A24&amp;"|ÖDEMEDE",'İCRA DOSYALARI'!$V$2:$V$300,0)),"-"))</f>
        <v/>
      </c>
      <c r="H24" s="9">
        <f>IF($A24="","",IFERROR(INDEX('İCRA DOSYALARI'!$R$2:$R$300,MATCH($A24&amp;"|ÖDEMEDE",'İCRA DOSYALARI'!$V$2:$V$300,0)),"-"))</f>
        <v/>
      </c>
      <c r="I24" s="9">
        <f>IF($A24="","",SUMIF('İCRA DOSYALARI'!$A$2:$A$300,$A24,'İCRA DOSYALARI'!$N$2:$N$300))</f>
        <v/>
      </c>
    </row>
    <row r="25">
      <c r="A25" s="7" t="n"/>
      <c r="B25" s="9">
        <f>IF($A25="","",IFERROR(VLOOKUP($A25,PERSONEL!$A$2:$C$300,3,0),""))</f>
        <v/>
      </c>
      <c r="C25" s="7">
        <f>IF($A25="","",COUNTIF('İCRA DOSYALARI'!$A$2:$A$300,$A25))</f>
        <v/>
      </c>
      <c r="D25" s="9">
        <f>IF($A25="","",SUMIF('İCRA DOSYALARI'!$A$2:$A$300,$A25,'İCRA DOSYALARI'!$I$2:$I$300))</f>
        <v/>
      </c>
      <c r="E25" s="9">
        <f>IF($A25="","",SUMIF('İCRA DOSYALARI'!$A$2:$A$300,$A25,'İCRA DOSYALARI'!$Q$2:$Q$300))</f>
        <v/>
      </c>
      <c r="F25" s="9">
        <f>IF($A25="","",SUMIF('İCRA DOSYALARI'!$A$2:$A$300,$A25,'İCRA DOSYALARI'!$R$2:$R$300))</f>
        <v/>
      </c>
      <c r="G25" s="7">
        <f>IF($A25="","",IFERROR(INDEX('İCRA DOSYALARI'!$E$2:$E$300,MATCH($A25&amp;"|ÖDEMEDE",'İCRA DOSYALARI'!$V$2:$V$300,0)),"-"))</f>
        <v/>
      </c>
      <c r="H25" s="9">
        <f>IF($A25="","",IFERROR(INDEX('İCRA DOSYALARI'!$R$2:$R$300,MATCH($A25&amp;"|ÖDEMEDE",'İCRA DOSYALARI'!$V$2:$V$300,0)),"-"))</f>
        <v/>
      </c>
      <c r="I25" s="9">
        <f>IF($A25="","",SUMIF('İCRA DOSYALARI'!$A$2:$A$300,$A25,'İCRA DOSYALARI'!$N$2:$N$300))</f>
        <v/>
      </c>
    </row>
    <row r="26">
      <c r="A26" s="7" t="n"/>
      <c r="B26" s="9">
        <f>IF($A26="","",IFERROR(VLOOKUP($A26,PERSONEL!$A$2:$C$300,3,0),""))</f>
        <v/>
      </c>
      <c r="C26" s="7">
        <f>IF($A26="","",COUNTIF('İCRA DOSYALARI'!$A$2:$A$300,$A26))</f>
        <v/>
      </c>
      <c r="D26" s="9">
        <f>IF($A26="","",SUMIF('İCRA DOSYALARI'!$A$2:$A$300,$A26,'İCRA DOSYALARI'!$I$2:$I$300))</f>
        <v/>
      </c>
      <c r="E26" s="9">
        <f>IF($A26="","",SUMIF('İCRA DOSYALARI'!$A$2:$A$300,$A26,'İCRA DOSYALARI'!$Q$2:$Q$300))</f>
        <v/>
      </c>
      <c r="F26" s="9">
        <f>IF($A26="","",SUMIF('İCRA DOSYALARI'!$A$2:$A$300,$A26,'İCRA DOSYALARI'!$R$2:$R$300))</f>
        <v/>
      </c>
      <c r="G26" s="7">
        <f>IF($A26="","",IFERROR(INDEX('İCRA DOSYALARI'!$E$2:$E$300,MATCH($A26&amp;"|ÖDEMEDE",'İCRA DOSYALARI'!$V$2:$V$300,0)),"-"))</f>
        <v/>
      </c>
      <c r="H26" s="9">
        <f>IF($A26="","",IFERROR(INDEX('İCRA DOSYALARI'!$R$2:$R$300,MATCH($A26&amp;"|ÖDEMEDE",'İCRA DOSYALARI'!$V$2:$V$300,0)),"-"))</f>
        <v/>
      </c>
      <c r="I26" s="9">
        <f>IF($A26="","",SUMIF('İCRA DOSYALARI'!$A$2:$A$300,$A26,'İCRA DOSYALARI'!$N$2:$N$300))</f>
        <v/>
      </c>
    </row>
    <row r="27">
      <c r="A27" s="7" t="n"/>
      <c r="B27" s="9">
        <f>IF($A27="","",IFERROR(VLOOKUP($A27,PERSONEL!$A$2:$C$300,3,0),""))</f>
        <v/>
      </c>
      <c r="C27" s="7">
        <f>IF($A27="","",COUNTIF('İCRA DOSYALARI'!$A$2:$A$300,$A27))</f>
        <v/>
      </c>
      <c r="D27" s="9">
        <f>IF($A27="","",SUMIF('İCRA DOSYALARI'!$A$2:$A$300,$A27,'İCRA DOSYALARI'!$I$2:$I$300))</f>
        <v/>
      </c>
      <c r="E27" s="9">
        <f>IF($A27="","",SUMIF('İCRA DOSYALARI'!$A$2:$A$300,$A27,'İCRA DOSYALARI'!$Q$2:$Q$300))</f>
        <v/>
      </c>
      <c r="F27" s="9">
        <f>IF($A27="","",SUMIF('İCRA DOSYALARI'!$A$2:$A$300,$A27,'İCRA DOSYALARI'!$R$2:$R$300))</f>
        <v/>
      </c>
      <c r="G27" s="7">
        <f>IF($A27="","",IFERROR(INDEX('İCRA DOSYALARI'!$E$2:$E$300,MATCH($A27&amp;"|ÖDEMEDE",'İCRA DOSYALARI'!$V$2:$V$300,0)),"-"))</f>
        <v/>
      </c>
      <c r="H27" s="9">
        <f>IF($A27="","",IFERROR(INDEX('İCRA DOSYALARI'!$R$2:$R$300,MATCH($A27&amp;"|ÖDEMEDE",'İCRA DOSYALARI'!$V$2:$V$300,0)),"-"))</f>
        <v/>
      </c>
      <c r="I27" s="9">
        <f>IF($A27="","",SUMIF('İCRA DOSYALARI'!$A$2:$A$300,$A27,'İCRA DOSYALARI'!$N$2:$N$300))</f>
        <v/>
      </c>
    </row>
    <row r="28">
      <c r="A28" s="7" t="n"/>
      <c r="B28" s="9">
        <f>IF($A28="","",IFERROR(VLOOKUP($A28,PERSONEL!$A$2:$C$300,3,0),""))</f>
        <v/>
      </c>
      <c r="C28" s="7">
        <f>IF($A28="","",COUNTIF('İCRA DOSYALARI'!$A$2:$A$300,$A28))</f>
        <v/>
      </c>
      <c r="D28" s="9">
        <f>IF($A28="","",SUMIF('İCRA DOSYALARI'!$A$2:$A$300,$A28,'İCRA DOSYALARI'!$I$2:$I$300))</f>
        <v/>
      </c>
      <c r="E28" s="9">
        <f>IF($A28="","",SUMIF('İCRA DOSYALARI'!$A$2:$A$300,$A28,'İCRA DOSYALARI'!$Q$2:$Q$300))</f>
        <v/>
      </c>
      <c r="F28" s="9">
        <f>IF($A28="","",SUMIF('İCRA DOSYALARI'!$A$2:$A$300,$A28,'İCRA DOSYALARI'!$R$2:$R$300))</f>
        <v/>
      </c>
      <c r="G28" s="7">
        <f>IF($A28="","",IFERROR(INDEX('İCRA DOSYALARI'!$E$2:$E$300,MATCH($A28&amp;"|ÖDEMEDE",'İCRA DOSYALARI'!$V$2:$V$300,0)),"-"))</f>
        <v/>
      </c>
      <c r="H28" s="9">
        <f>IF($A28="","",IFERROR(INDEX('İCRA DOSYALARI'!$R$2:$R$300,MATCH($A28&amp;"|ÖDEMEDE",'İCRA DOSYALARI'!$V$2:$V$300,0)),"-"))</f>
        <v/>
      </c>
      <c r="I28" s="9">
        <f>IF($A28="","",SUMIF('İCRA DOSYALARI'!$A$2:$A$300,$A28,'İCRA DOSYALARI'!$N$2:$N$300))</f>
        <v/>
      </c>
    </row>
    <row r="29">
      <c r="A29" s="7" t="n"/>
      <c r="B29" s="9">
        <f>IF($A29="","",IFERROR(VLOOKUP($A29,PERSONEL!$A$2:$C$300,3,0),""))</f>
        <v/>
      </c>
      <c r="C29" s="7">
        <f>IF($A29="","",COUNTIF('İCRA DOSYALARI'!$A$2:$A$300,$A29))</f>
        <v/>
      </c>
      <c r="D29" s="9">
        <f>IF($A29="","",SUMIF('İCRA DOSYALARI'!$A$2:$A$300,$A29,'İCRA DOSYALARI'!$I$2:$I$300))</f>
        <v/>
      </c>
      <c r="E29" s="9">
        <f>IF($A29="","",SUMIF('İCRA DOSYALARI'!$A$2:$A$300,$A29,'İCRA DOSYALARI'!$Q$2:$Q$300))</f>
        <v/>
      </c>
      <c r="F29" s="9">
        <f>IF($A29="","",SUMIF('İCRA DOSYALARI'!$A$2:$A$300,$A29,'İCRA DOSYALARI'!$R$2:$R$300))</f>
        <v/>
      </c>
      <c r="G29" s="7">
        <f>IF($A29="","",IFERROR(INDEX('İCRA DOSYALARI'!$E$2:$E$300,MATCH($A29&amp;"|ÖDEMEDE",'İCRA DOSYALARI'!$V$2:$V$300,0)),"-"))</f>
        <v/>
      </c>
      <c r="H29" s="9">
        <f>IF($A29="","",IFERROR(INDEX('İCRA DOSYALARI'!$R$2:$R$300,MATCH($A29&amp;"|ÖDEMEDE",'İCRA DOSYALARI'!$V$2:$V$300,0)),"-"))</f>
        <v/>
      </c>
      <c r="I29" s="9">
        <f>IF($A29="","",SUMIF('İCRA DOSYALARI'!$A$2:$A$300,$A29,'İCRA DOSYALARI'!$N$2:$N$300))</f>
        <v/>
      </c>
    </row>
    <row r="30">
      <c r="A30" s="7" t="n"/>
      <c r="B30" s="9">
        <f>IF($A30="","",IFERROR(VLOOKUP($A30,PERSONEL!$A$2:$C$300,3,0),""))</f>
        <v/>
      </c>
      <c r="C30" s="7">
        <f>IF($A30="","",COUNTIF('İCRA DOSYALARI'!$A$2:$A$300,$A30))</f>
        <v/>
      </c>
      <c r="D30" s="9">
        <f>IF($A30="","",SUMIF('İCRA DOSYALARI'!$A$2:$A$300,$A30,'İCRA DOSYALARI'!$I$2:$I$300))</f>
        <v/>
      </c>
      <c r="E30" s="9">
        <f>IF($A30="","",SUMIF('İCRA DOSYALARI'!$A$2:$A$300,$A30,'İCRA DOSYALARI'!$Q$2:$Q$300))</f>
        <v/>
      </c>
      <c r="F30" s="9">
        <f>IF($A30="","",SUMIF('İCRA DOSYALARI'!$A$2:$A$300,$A30,'İCRA DOSYALARI'!$R$2:$R$300))</f>
        <v/>
      </c>
      <c r="G30" s="7">
        <f>IF($A30="","",IFERROR(INDEX('İCRA DOSYALARI'!$E$2:$E$300,MATCH($A30&amp;"|ÖDEMEDE",'İCRA DOSYALARI'!$V$2:$V$300,0)),"-"))</f>
        <v/>
      </c>
      <c r="H30" s="9">
        <f>IF($A30="","",IFERROR(INDEX('İCRA DOSYALARI'!$R$2:$R$300,MATCH($A30&amp;"|ÖDEMEDE",'İCRA DOSYALARI'!$V$2:$V$300,0)),"-"))</f>
        <v/>
      </c>
      <c r="I30" s="9">
        <f>IF($A30="","",SUMIF('İCRA DOSYALARI'!$A$2:$A$300,$A30,'İCRA DOSYALARI'!$N$2:$N$300))</f>
        <v/>
      </c>
    </row>
    <row r="31">
      <c r="A31" s="7" t="n"/>
      <c r="B31" s="9">
        <f>IF($A31="","",IFERROR(VLOOKUP($A31,PERSONEL!$A$2:$C$300,3,0),""))</f>
        <v/>
      </c>
      <c r="C31" s="7">
        <f>IF($A31="","",COUNTIF('İCRA DOSYALARI'!$A$2:$A$300,$A31))</f>
        <v/>
      </c>
      <c r="D31" s="9">
        <f>IF($A31="","",SUMIF('İCRA DOSYALARI'!$A$2:$A$300,$A31,'İCRA DOSYALARI'!$I$2:$I$300))</f>
        <v/>
      </c>
      <c r="E31" s="9">
        <f>IF($A31="","",SUMIF('İCRA DOSYALARI'!$A$2:$A$300,$A31,'İCRA DOSYALARI'!$Q$2:$Q$300))</f>
        <v/>
      </c>
      <c r="F31" s="9">
        <f>IF($A31="","",SUMIF('İCRA DOSYALARI'!$A$2:$A$300,$A31,'İCRA DOSYALARI'!$R$2:$R$300))</f>
        <v/>
      </c>
      <c r="G31" s="7">
        <f>IF($A31="","",IFERROR(INDEX('İCRA DOSYALARI'!$E$2:$E$300,MATCH($A31&amp;"|ÖDEMEDE",'İCRA DOSYALARI'!$V$2:$V$300,0)),"-"))</f>
        <v/>
      </c>
      <c r="H31" s="9">
        <f>IF($A31="","",IFERROR(INDEX('İCRA DOSYALARI'!$R$2:$R$300,MATCH($A31&amp;"|ÖDEMEDE",'İCRA DOSYALARI'!$V$2:$V$300,0)),"-"))</f>
        <v/>
      </c>
      <c r="I31" s="9">
        <f>IF($A31="","",SUMIF('İCRA DOSYALARI'!$A$2:$A$300,$A31,'İCRA DOSYALARI'!$N$2:$N$300))</f>
        <v/>
      </c>
    </row>
    <row r="32">
      <c r="A32" s="7" t="n"/>
      <c r="B32" s="9">
        <f>IF($A32="","",IFERROR(VLOOKUP($A32,PERSONEL!$A$2:$C$300,3,0),""))</f>
        <v/>
      </c>
      <c r="C32" s="7">
        <f>IF($A32="","",COUNTIF('İCRA DOSYALARI'!$A$2:$A$300,$A32))</f>
        <v/>
      </c>
      <c r="D32" s="9">
        <f>IF($A32="","",SUMIF('İCRA DOSYALARI'!$A$2:$A$300,$A32,'İCRA DOSYALARI'!$I$2:$I$300))</f>
        <v/>
      </c>
      <c r="E32" s="9">
        <f>IF($A32="","",SUMIF('İCRA DOSYALARI'!$A$2:$A$300,$A32,'İCRA DOSYALARI'!$Q$2:$Q$300))</f>
        <v/>
      </c>
      <c r="F32" s="9">
        <f>IF($A32="","",SUMIF('İCRA DOSYALARI'!$A$2:$A$300,$A32,'İCRA DOSYALARI'!$R$2:$R$300))</f>
        <v/>
      </c>
      <c r="G32" s="7">
        <f>IF($A32="","",IFERROR(INDEX('İCRA DOSYALARI'!$E$2:$E$300,MATCH($A32&amp;"|ÖDEMEDE",'İCRA DOSYALARI'!$V$2:$V$300,0)),"-"))</f>
        <v/>
      </c>
      <c r="H32" s="9">
        <f>IF($A32="","",IFERROR(INDEX('İCRA DOSYALARI'!$R$2:$R$300,MATCH($A32&amp;"|ÖDEMEDE",'İCRA DOSYALARI'!$V$2:$V$300,0)),"-"))</f>
        <v/>
      </c>
      <c r="I32" s="9">
        <f>IF($A32="","",SUMIF('İCRA DOSYALARI'!$A$2:$A$300,$A32,'İCRA DOSYALARI'!$N$2:$N$300))</f>
        <v/>
      </c>
    </row>
    <row r="33">
      <c r="A33" s="7" t="n"/>
      <c r="B33" s="9">
        <f>IF($A33="","",IFERROR(VLOOKUP($A33,PERSONEL!$A$2:$C$300,3,0),""))</f>
        <v/>
      </c>
      <c r="C33" s="7">
        <f>IF($A33="","",COUNTIF('İCRA DOSYALARI'!$A$2:$A$300,$A33))</f>
        <v/>
      </c>
      <c r="D33" s="9">
        <f>IF($A33="","",SUMIF('İCRA DOSYALARI'!$A$2:$A$300,$A33,'İCRA DOSYALARI'!$I$2:$I$300))</f>
        <v/>
      </c>
      <c r="E33" s="9">
        <f>IF($A33="","",SUMIF('İCRA DOSYALARI'!$A$2:$A$300,$A33,'İCRA DOSYALARI'!$Q$2:$Q$300))</f>
        <v/>
      </c>
      <c r="F33" s="9">
        <f>IF($A33="","",SUMIF('İCRA DOSYALARI'!$A$2:$A$300,$A33,'İCRA DOSYALARI'!$R$2:$R$300))</f>
        <v/>
      </c>
      <c r="G33" s="7">
        <f>IF($A33="","",IFERROR(INDEX('İCRA DOSYALARI'!$E$2:$E$300,MATCH($A33&amp;"|ÖDEMEDE",'İCRA DOSYALARI'!$V$2:$V$300,0)),"-"))</f>
        <v/>
      </c>
      <c r="H33" s="9">
        <f>IF($A33="","",IFERROR(INDEX('İCRA DOSYALARI'!$R$2:$R$300,MATCH($A33&amp;"|ÖDEMEDE",'İCRA DOSYALARI'!$V$2:$V$300,0)),"-"))</f>
        <v/>
      </c>
      <c r="I33" s="9">
        <f>IF($A33="","",SUMIF('İCRA DOSYALARI'!$A$2:$A$300,$A33,'İCRA DOSYALARI'!$N$2:$N$300))</f>
        <v/>
      </c>
    </row>
    <row r="34">
      <c r="A34" s="7" t="n"/>
      <c r="B34" s="9">
        <f>IF($A34="","",IFERROR(VLOOKUP($A34,PERSONEL!$A$2:$C$300,3,0),""))</f>
        <v/>
      </c>
      <c r="C34" s="7">
        <f>IF($A34="","",COUNTIF('İCRA DOSYALARI'!$A$2:$A$300,$A34))</f>
        <v/>
      </c>
      <c r="D34" s="9">
        <f>IF($A34="","",SUMIF('İCRA DOSYALARI'!$A$2:$A$300,$A34,'İCRA DOSYALARI'!$I$2:$I$300))</f>
        <v/>
      </c>
      <c r="E34" s="9">
        <f>IF($A34="","",SUMIF('İCRA DOSYALARI'!$A$2:$A$300,$A34,'İCRA DOSYALARI'!$Q$2:$Q$300))</f>
        <v/>
      </c>
      <c r="F34" s="9">
        <f>IF($A34="","",SUMIF('İCRA DOSYALARI'!$A$2:$A$300,$A34,'İCRA DOSYALARI'!$R$2:$R$300))</f>
        <v/>
      </c>
      <c r="G34" s="7">
        <f>IF($A34="","",IFERROR(INDEX('İCRA DOSYALARI'!$E$2:$E$300,MATCH($A34&amp;"|ÖDEMEDE",'İCRA DOSYALARI'!$V$2:$V$300,0)),"-"))</f>
        <v/>
      </c>
      <c r="H34" s="9">
        <f>IF($A34="","",IFERROR(INDEX('İCRA DOSYALARI'!$R$2:$R$300,MATCH($A34&amp;"|ÖDEMEDE",'İCRA DOSYALARI'!$V$2:$V$300,0)),"-"))</f>
        <v/>
      </c>
      <c r="I34" s="9">
        <f>IF($A34="","",SUMIF('İCRA DOSYALARI'!$A$2:$A$300,$A34,'İCRA DOSYALARI'!$N$2:$N$300))</f>
        <v/>
      </c>
    </row>
    <row r="35">
      <c r="A35" s="7" t="n"/>
      <c r="B35" s="9">
        <f>IF($A35="","",IFERROR(VLOOKUP($A35,PERSONEL!$A$2:$C$300,3,0),""))</f>
        <v/>
      </c>
      <c r="C35" s="7">
        <f>IF($A35="","",COUNTIF('İCRA DOSYALARI'!$A$2:$A$300,$A35))</f>
        <v/>
      </c>
      <c r="D35" s="9">
        <f>IF($A35="","",SUMIF('İCRA DOSYALARI'!$A$2:$A$300,$A35,'İCRA DOSYALARI'!$I$2:$I$300))</f>
        <v/>
      </c>
      <c r="E35" s="9">
        <f>IF($A35="","",SUMIF('İCRA DOSYALARI'!$A$2:$A$300,$A35,'İCRA DOSYALARI'!$Q$2:$Q$300))</f>
        <v/>
      </c>
      <c r="F35" s="9">
        <f>IF($A35="","",SUMIF('İCRA DOSYALARI'!$A$2:$A$300,$A35,'İCRA DOSYALARI'!$R$2:$R$300))</f>
        <v/>
      </c>
      <c r="G35" s="7">
        <f>IF($A35="","",IFERROR(INDEX('İCRA DOSYALARI'!$E$2:$E$300,MATCH($A35&amp;"|ÖDEMEDE",'İCRA DOSYALARI'!$V$2:$V$300,0)),"-"))</f>
        <v/>
      </c>
      <c r="H35" s="9">
        <f>IF($A35="","",IFERROR(INDEX('İCRA DOSYALARI'!$R$2:$R$300,MATCH($A35&amp;"|ÖDEMEDE",'İCRA DOSYALARI'!$V$2:$V$300,0)),"-"))</f>
        <v/>
      </c>
      <c r="I35" s="9">
        <f>IF($A35="","",SUMIF('İCRA DOSYALARI'!$A$2:$A$300,$A35,'İCRA DOSYALARI'!$N$2:$N$300))</f>
        <v/>
      </c>
    </row>
    <row r="36">
      <c r="A36" s="7" t="n"/>
      <c r="B36" s="9">
        <f>IF($A36="","",IFERROR(VLOOKUP($A36,PERSONEL!$A$2:$C$300,3,0),""))</f>
        <v/>
      </c>
      <c r="C36" s="7">
        <f>IF($A36="","",COUNTIF('İCRA DOSYALARI'!$A$2:$A$300,$A36))</f>
        <v/>
      </c>
      <c r="D36" s="9">
        <f>IF($A36="","",SUMIF('İCRA DOSYALARI'!$A$2:$A$300,$A36,'İCRA DOSYALARI'!$I$2:$I$300))</f>
        <v/>
      </c>
      <c r="E36" s="9">
        <f>IF($A36="","",SUMIF('İCRA DOSYALARI'!$A$2:$A$300,$A36,'İCRA DOSYALARI'!$Q$2:$Q$300))</f>
        <v/>
      </c>
      <c r="F36" s="9">
        <f>IF($A36="","",SUMIF('İCRA DOSYALARI'!$A$2:$A$300,$A36,'İCRA DOSYALARI'!$R$2:$R$300))</f>
        <v/>
      </c>
      <c r="G36" s="7">
        <f>IF($A36="","",IFERROR(INDEX('İCRA DOSYALARI'!$E$2:$E$300,MATCH($A36&amp;"|ÖDEMEDE",'İCRA DOSYALARI'!$V$2:$V$300,0)),"-"))</f>
        <v/>
      </c>
      <c r="H36" s="9">
        <f>IF($A36="","",IFERROR(INDEX('İCRA DOSYALARI'!$R$2:$R$300,MATCH($A36&amp;"|ÖDEMEDE",'İCRA DOSYALARI'!$V$2:$V$300,0)),"-"))</f>
        <v/>
      </c>
      <c r="I36" s="9">
        <f>IF($A36="","",SUMIF('İCRA DOSYALARI'!$A$2:$A$300,$A36,'İCRA DOSYALARI'!$N$2:$N$300))</f>
        <v/>
      </c>
    </row>
    <row r="37">
      <c r="A37" s="7" t="n"/>
      <c r="B37" s="9">
        <f>IF($A37="","",IFERROR(VLOOKUP($A37,PERSONEL!$A$2:$C$300,3,0),""))</f>
        <v/>
      </c>
      <c r="C37" s="7">
        <f>IF($A37="","",COUNTIF('İCRA DOSYALARI'!$A$2:$A$300,$A37))</f>
        <v/>
      </c>
      <c r="D37" s="9">
        <f>IF($A37="","",SUMIF('İCRA DOSYALARI'!$A$2:$A$300,$A37,'İCRA DOSYALARI'!$I$2:$I$300))</f>
        <v/>
      </c>
      <c r="E37" s="9">
        <f>IF($A37="","",SUMIF('İCRA DOSYALARI'!$A$2:$A$300,$A37,'İCRA DOSYALARI'!$Q$2:$Q$300))</f>
        <v/>
      </c>
      <c r="F37" s="9">
        <f>IF($A37="","",SUMIF('İCRA DOSYALARI'!$A$2:$A$300,$A37,'İCRA DOSYALARI'!$R$2:$R$300))</f>
        <v/>
      </c>
      <c r="G37" s="7">
        <f>IF($A37="","",IFERROR(INDEX('İCRA DOSYALARI'!$E$2:$E$300,MATCH($A37&amp;"|ÖDEMEDE",'İCRA DOSYALARI'!$V$2:$V$300,0)),"-"))</f>
        <v/>
      </c>
      <c r="H37" s="9">
        <f>IF($A37="","",IFERROR(INDEX('İCRA DOSYALARI'!$R$2:$R$300,MATCH($A37&amp;"|ÖDEMEDE",'İCRA DOSYALARI'!$V$2:$V$300,0)),"-"))</f>
        <v/>
      </c>
      <c r="I37" s="9">
        <f>IF($A37="","",SUMIF('İCRA DOSYALARI'!$A$2:$A$300,$A37,'İCRA DOSYALARI'!$N$2:$N$300))</f>
        <v/>
      </c>
    </row>
    <row r="38">
      <c r="A38" s="7" t="n"/>
      <c r="B38" s="9">
        <f>IF($A38="","",IFERROR(VLOOKUP($A38,PERSONEL!$A$2:$C$300,3,0),""))</f>
        <v/>
      </c>
      <c r="C38" s="7">
        <f>IF($A38="","",COUNTIF('İCRA DOSYALARI'!$A$2:$A$300,$A38))</f>
        <v/>
      </c>
      <c r="D38" s="9">
        <f>IF($A38="","",SUMIF('İCRA DOSYALARI'!$A$2:$A$300,$A38,'İCRA DOSYALARI'!$I$2:$I$300))</f>
        <v/>
      </c>
      <c r="E38" s="9">
        <f>IF($A38="","",SUMIF('İCRA DOSYALARI'!$A$2:$A$300,$A38,'İCRA DOSYALARI'!$Q$2:$Q$300))</f>
        <v/>
      </c>
      <c r="F38" s="9">
        <f>IF($A38="","",SUMIF('İCRA DOSYALARI'!$A$2:$A$300,$A38,'İCRA DOSYALARI'!$R$2:$R$300))</f>
        <v/>
      </c>
      <c r="G38" s="7">
        <f>IF($A38="","",IFERROR(INDEX('İCRA DOSYALARI'!$E$2:$E$300,MATCH($A38&amp;"|ÖDEMEDE",'İCRA DOSYALARI'!$V$2:$V$300,0)),"-"))</f>
        <v/>
      </c>
      <c r="H38" s="9">
        <f>IF($A38="","",IFERROR(INDEX('İCRA DOSYALARI'!$R$2:$R$300,MATCH($A38&amp;"|ÖDEMEDE",'İCRA DOSYALARI'!$V$2:$V$300,0)),"-"))</f>
        <v/>
      </c>
      <c r="I38" s="9">
        <f>IF($A38="","",SUMIF('İCRA DOSYALARI'!$A$2:$A$300,$A38,'İCRA DOSYALARI'!$N$2:$N$300))</f>
        <v/>
      </c>
    </row>
    <row r="39">
      <c r="A39" s="7" t="n"/>
      <c r="B39" s="9">
        <f>IF($A39="","",IFERROR(VLOOKUP($A39,PERSONEL!$A$2:$C$300,3,0),""))</f>
        <v/>
      </c>
      <c r="C39" s="7">
        <f>IF($A39="","",COUNTIF('İCRA DOSYALARI'!$A$2:$A$300,$A39))</f>
        <v/>
      </c>
      <c r="D39" s="9">
        <f>IF($A39="","",SUMIF('İCRA DOSYALARI'!$A$2:$A$300,$A39,'İCRA DOSYALARI'!$I$2:$I$300))</f>
        <v/>
      </c>
      <c r="E39" s="9">
        <f>IF($A39="","",SUMIF('İCRA DOSYALARI'!$A$2:$A$300,$A39,'İCRA DOSYALARI'!$Q$2:$Q$300))</f>
        <v/>
      </c>
      <c r="F39" s="9">
        <f>IF($A39="","",SUMIF('İCRA DOSYALARI'!$A$2:$A$300,$A39,'İCRA DOSYALARI'!$R$2:$R$300))</f>
        <v/>
      </c>
      <c r="G39" s="7">
        <f>IF($A39="","",IFERROR(INDEX('İCRA DOSYALARI'!$E$2:$E$300,MATCH($A39&amp;"|ÖDEMEDE",'İCRA DOSYALARI'!$V$2:$V$300,0)),"-"))</f>
        <v/>
      </c>
      <c r="H39" s="9">
        <f>IF($A39="","",IFERROR(INDEX('İCRA DOSYALARI'!$R$2:$R$300,MATCH($A39&amp;"|ÖDEMEDE",'İCRA DOSYALARI'!$V$2:$V$300,0)),"-"))</f>
        <v/>
      </c>
      <c r="I39" s="9">
        <f>IF($A39="","",SUMIF('İCRA DOSYALARI'!$A$2:$A$300,$A39,'İCRA DOSYALARI'!$N$2:$N$300))</f>
        <v/>
      </c>
    </row>
    <row r="40">
      <c r="A40" s="7" t="n"/>
      <c r="B40" s="9">
        <f>IF($A40="","",IFERROR(VLOOKUP($A40,PERSONEL!$A$2:$C$300,3,0),""))</f>
        <v/>
      </c>
      <c r="C40" s="7">
        <f>IF($A40="","",COUNTIF('İCRA DOSYALARI'!$A$2:$A$300,$A40))</f>
        <v/>
      </c>
      <c r="D40" s="9">
        <f>IF($A40="","",SUMIF('İCRA DOSYALARI'!$A$2:$A$300,$A40,'İCRA DOSYALARI'!$I$2:$I$300))</f>
        <v/>
      </c>
      <c r="E40" s="9">
        <f>IF($A40="","",SUMIF('İCRA DOSYALARI'!$A$2:$A$300,$A40,'İCRA DOSYALARI'!$Q$2:$Q$300))</f>
        <v/>
      </c>
      <c r="F40" s="9">
        <f>IF($A40="","",SUMIF('İCRA DOSYALARI'!$A$2:$A$300,$A40,'İCRA DOSYALARI'!$R$2:$R$300))</f>
        <v/>
      </c>
      <c r="G40" s="7">
        <f>IF($A40="","",IFERROR(INDEX('İCRA DOSYALARI'!$E$2:$E$300,MATCH($A40&amp;"|ÖDEMEDE",'İCRA DOSYALARI'!$V$2:$V$300,0)),"-"))</f>
        <v/>
      </c>
      <c r="H40" s="9">
        <f>IF($A40="","",IFERROR(INDEX('İCRA DOSYALARI'!$R$2:$R$300,MATCH($A40&amp;"|ÖDEMEDE",'İCRA DOSYALARI'!$V$2:$V$300,0)),"-"))</f>
        <v/>
      </c>
      <c r="I40" s="9">
        <f>IF($A40="","",SUMIF('İCRA DOSYALARI'!$A$2:$A$300,$A40,'İCRA DOSYALARI'!$N$2:$N$300))</f>
        <v/>
      </c>
    </row>
    <row r="41">
      <c r="A41" s="7" t="n"/>
      <c r="B41" s="9">
        <f>IF($A41="","",IFERROR(VLOOKUP($A41,PERSONEL!$A$2:$C$300,3,0),""))</f>
        <v/>
      </c>
      <c r="C41" s="7">
        <f>IF($A41="","",COUNTIF('İCRA DOSYALARI'!$A$2:$A$300,$A41))</f>
        <v/>
      </c>
      <c r="D41" s="9">
        <f>IF($A41="","",SUMIF('İCRA DOSYALARI'!$A$2:$A$300,$A41,'İCRA DOSYALARI'!$I$2:$I$300))</f>
        <v/>
      </c>
      <c r="E41" s="9">
        <f>IF($A41="","",SUMIF('İCRA DOSYALARI'!$A$2:$A$300,$A41,'İCRA DOSYALARI'!$Q$2:$Q$300))</f>
        <v/>
      </c>
      <c r="F41" s="9">
        <f>IF($A41="","",SUMIF('İCRA DOSYALARI'!$A$2:$A$300,$A41,'İCRA DOSYALARI'!$R$2:$R$300))</f>
        <v/>
      </c>
      <c r="G41" s="7">
        <f>IF($A41="","",IFERROR(INDEX('İCRA DOSYALARI'!$E$2:$E$300,MATCH($A41&amp;"|ÖDEMEDE",'İCRA DOSYALARI'!$V$2:$V$300,0)),"-"))</f>
        <v/>
      </c>
      <c r="H41" s="9">
        <f>IF($A41="","",IFERROR(INDEX('İCRA DOSYALARI'!$R$2:$R$300,MATCH($A41&amp;"|ÖDEMEDE",'İCRA DOSYALARI'!$V$2:$V$300,0)),"-"))</f>
        <v/>
      </c>
      <c r="I41" s="9">
        <f>IF($A41="","",SUMIF('İCRA DOSYALARI'!$A$2:$A$300,$A41,'İCRA DOSYALARI'!$N$2:$N$300))</f>
        <v/>
      </c>
    </row>
    <row r="42">
      <c r="A42" s="7" t="n"/>
      <c r="B42" s="9">
        <f>IF($A42="","",IFERROR(VLOOKUP($A42,PERSONEL!$A$2:$C$300,3,0),""))</f>
        <v/>
      </c>
      <c r="C42" s="7">
        <f>IF($A42="","",COUNTIF('İCRA DOSYALARI'!$A$2:$A$300,$A42))</f>
        <v/>
      </c>
      <c r="D42" s="9">
        <f>IF($A42="","",SUMIF('İCRA DOSYALARI'!$A$2:$A$300,$A42,'İCRA DOSYALARI'!$I$2:$I$300))</f>
        <v/>
      </c>
      <c r="E42" s="9">
        <f>IF($A42="","",SUMIF('İCRA DOSYALARI'!$A$2:$A$300,$A42,'İCRA DOSYALARI'!$Q$2:$Q$300))</f>
        <v/>
      </c>
      <c r="F42" s="9">
        <f>IF($A42="","",SUMIF('İCRA DOSYALARI'!$A$2:$A$300,$A42,'İCRA DOSYALARI'!$R$2:$R$300))</f>
        <v/>
      </c>
      <c r="G42" s="7">
        <f>IF($A42="","",IFERROR(INDEX('İCRA DOSYALARI'!$E$2:$E$300,MATCH($A42&amp;"|ÖDEMEDE",'İCRA DOSYALARI'!$V$2:$V$300,0)),"-"))</f>
        <v/>
      </c>
      <c r="H42" s="9">
        <f>IF($A42="","",IFERROR(INDEX('İCRA DOSYALARI'!$R$2:$R$300,MATCH($A42&amp;"|ÖDEMEDE",'İCRA DOSYALARI'!$V$2:$V$300,0)),"-"))</f>
        <v/>
      </c>
      <c r="I42" s="9">
        <f>IF($A42="","",SUMIF('İCRA DOSYALARI'!$A$2:$A$300,$A42,'İCRA DOSYALARI'!$N$2:$N$300))</f>
        <v/>
      </c>
    </row>
    <row r="43">
      <c r="A43" s="7" t="n"/>
      <c r="B43" s="9">
        <f>IF($A43="","",IFERROR(VLOOKUP($A43,PERSONEL!$A$2:$C$300,3,0),""))</f>
        <v/>
      </c>
      <c r="C43" s="7">
        <f>IF($A43="","",COUNTIF('İCRA DOSYALARI'!$A$2:$A$300,$A43))</f>
        <v/>
      </c>
      <c r="D43" s="9">
        <f>IF($A43="","",SUMIF('İCRA DOSYALARI'!$A$2:$A$300,$A43,'İCRA DOSYALARI'!$I$2:$I$300))</f>
        <v/>
      </c>
      <c r="E43" s="9">
        <f>IF($A43="","",SUMIF('İCRA DOSYALARI'!$A$2:$A$300,$A43,'İCRA DOSYALARI'!$Q$2:$Q$300))</f>
        <v/>
      </c>
      <c r="F43" s="9">
        <f>IF($A43="","",SUMIF('İCRA DOSYALARI'!$A$2:$A$300,$A43,'İCRA DOSYALARI'!$R$2:$R$300))</f>
        <v/>
      </c>
      <c r="G43" s="7">
        <f>IF($A43="","",IFERROR(INDEX('İCRA DOSYALARI'!$E$2:$E$300,MATCH($A43&amp;"|ÖDEMEDE",'İCRA DOSYALARI'!$V$2:$V$300,0)),"-"))</f>
        <v/>
      </c>
      <c r="H43" s="9">
        <f>IF($A43="","",IFERROR(INDEX('İCRA DOSYALARI'!$R$2:$R$300,MATCH($A43&amp;"|ÖDEMEDE",'İCRA DOSYALARI'!$V$2:$V$300,0)),"-"))</f>
        <v/>
      </c>
      <c r="I43" s="9">
        <f>IF($A43="","",SUMIF('İCRA DOSYALARI'!$A$2:$A$300,$A43,'İCRA DOSYALARI'!$N$2:$N$300))</f>
        <v/>
      </c>
    </row>
    <row r="44">
      <c r="A44" s="7" t="n"/>
      <c r="B44" s="9">
        <f>IF($A44="","",IFERROR(VLOOKUP($A44,PERSONEL!$A$2:$C$300,3,0),""))</f>
        <v/>
      </c>
      <c r="C44" s="7">
        <f>IF($A44="","",COUNTIF('İCRA DOSYALARI'!$A$2:$A$300,$A44))</f>
        <v/>
      </c>
      <c r="D44" s="9">
        <f>IF($A44="","",SUMIF('İCRA DOSYALARI'!$A$2:$A$300,$A44,'İCRA DOSYALARI'!$I$2:$I$300))</f>
        <v/>
      </c>
      <c r="E44" s="9">
        <f>IF($A44="","",SUMIF('İCRA DOSYALARI'!$A$2:$A$300,$A44,'İCRA DOSYALARI'!$Q$2:$Q$300))</f>
        <v/>
      </c>
      <c r="F44" s="9">
        <f>IF($A44="","",SUMIF('İCRA DOSYALARI'!$A$2:$A$300,$A44,'İCRA DOSYALARI'!$R$2:$R$300))</f>
        <v/>
      </c>
      <c r="G44" s="7">
        <f>IF($A44="","",IFERROR(INDEX('İCRA DOSYALARI'!$E$2:$E$300,MATCH($A44&amp;"|ÖDEMEDE",'İCRA DOSYALARI'!$V$2:$V$300,0)),"-"))</f>
        <v/>
      </c>
      <c r="H44" s="9">
        <f>IF($A44="","",IFERROR(INDEX('İCRA DOSYALARI'!$R$2:$R$300,MATCH($A44&amp;"|ÖDEMEDE",'İCRA DOSYALARI'!$V$2:$V$300,0)),"-"))</f>
        <v/>
      </c>
      <c r="I44" s="9">
        <f>IF($A44="","",SUMIF('İCRA DOSYALARI'!$A$2:$A$300,$A44,'İCRA DOSYALARI'!$N$2:$N$300))</f>
        <v/>
      </c>
    </row>
    <row r="45">
      <c r="A45" s="7" t="n"/>
      <c r="B45" s="9">
        <f>IF($A45="","",IFERROR(VLOOKUP($A45,PERSONEL!$A$2:$C$300,3,0),""))</f>
        <v/>
      </c>
      <c r="C45" s="7">
        <f>IF($A45="","",COUNTIF('İCRA DOSYALARI'!$A$2:$A$300,$A45))</f>
        <v/>
      </c>
      <c r="D45" s="9">
        <f>IF($A45="","",SUMIF('İCRA DOSYALARI'!$A$2:$A$300,$A45,'İCRA DOSYALARI'!$I$2:$I$300))</f>
        <v/>
      </c>
      <c r="E45" s="9">
        <f>IF($A45="","",SUMIF('İCRA DOSYALARI'!$A$2:$A$300,$A45,'İCRA DOSYALARI'!$Q$2:$Q$300))</f>
        <v/>
      </c>
      <c r="F45" s="9">
        <f>IF($A45="","",SUMIF('İCRA DOSYALARI'!$A$2:$A$300,$A45,'İCRA DOSYALARI'!$R$2:$R$300))</f>
        <v/>
      </c>
      <c r="G45" s="7">
        <f>IF($A45="","",IFERROR(INDEX('İCRA DOSYALARI'!$E$2:$E$300,MATCH($A45&amp;"|ÖDEMEDE",'İCRA DOSYALARI'!$V$2:$V$300,0)),"-"))</f>
        <v/>
      </c>
      <c r="H45" s="9">
        <f>IF($A45="","",IFERROR(INDEX('İCRA DOSYALARI'!$R$2:$R$300,MATCH($A45&amp;"|ÖDEMEDE",'İCRA DOSYALARI'!$V$2:$V$300,0)),"-"))</f>
        <v/>
      </c>
      <c r="I45" s="9">
        <f>IF($A45="","",SUMIF('İCRA DOSYALARI'!$A$2:$A$300,$A45,'İCRA DOSYALARI'!$N$2:$N$300))</f>
        <v/>
      </c>
    </row>
    <row r="46">
      <c r="A46" s="7" t="n"/>
      <c r="B46" s="9">
        <f>IF($A46="","",IFERROR(VLOOKUP($A46,PERSONEL!$A$2:$C$300,3,0),""))</f>
        <v/>
      </c>
      <c r="C46" s="7">
        <f>IF($A46="","",COUNTIF('İCRA DOSYALARI'!$A$2:$A$300,$A46))</f>
        <v/>
      </c>
      <c r="D46" s="9">
        <f>IF($A46="","",SUMIF('İCRA DOSYALARI'!$A$2:$A$300,$A46,'İCRA DOSYALARI'!$I$2:$I$300))</f>
        <v/>
      </c>
      <c r="E46" s="9">
        <f>IF($A46="","",SUMIF('İCRA DOSYALARI'!$A$2:$A$300,$A46,'İCRA DOSYALARI'!$Q$2:$Q$300))</f>
        <v/>
      </c>
      <c r="F46" s="9">
        <f>IF($A46="","",SUMIF('İCRA DOSYALARI'!$A$2:$A$300,$A46,'İCRA DOSYALARI'!$R$2:$R$300))</f>
        <v/>
      </c>
      <c r="G46" s="7">
        <f>IF($A46="","",IFERROR(INDEX('İCRA DOSYALARI'!$E$2:$E$300,MATCH($A46&amp;"|ÖDEMEDE",'İCRA DOSYALARI'!$V$2:$V$300,0)),"-"))</f>
        <v/>
      </c>
      <c r="H46" s="9">
        <f>IF($A46="","",IFERROR(INDEX('İCRA DOSYALARI'!$R$2:$R$300,MATCH($A46&amp;"|ÖDEMEDE",'İCRA DOSYALARI'!$V$2:$V$300,0)),"-"))</f>
        <v/>
      </c>
      <c r="I46" s="9">
        <f>IF($A46="","",SUMIF('İCRA DOSYALARI'!$A$2:$A$300,$A46,'İCRA DOSYALARI'!$N$2:$N$300))</f>
        <v/>
      </c>
    </row>
    <row r="47">
      <c r="A47" s="7" t="n"/>
      <c r="B47" s="9">
        <f>IF($A47="","",IFERROR(VLOOKUP($A47,PERSONEL!$A$2:$C$300,3,0),""))</f>
        <v/>
      </c>
      <c r="C47" s="7">
        <f>IF($A47="","",COUNTIF('İCRA DOSYALARI'!$A$2:$A$300,$A47))</f>
        <v/>
      </c>
      <c r="D47" s="9">
        <f>IF($A47="","",SUMIF('İCRA DOSYALARI'!$A$2:$A$300,$A47,'İCRA DOSYALARI'!$I$2:$I$300))</f>
        <v/>
      </c>
      <c r="E47" s="9">
        <f>IF($A47="","",SUMIF('İCRA DOSYALARI'!$A$2:$A$300,$A47,'İCRA DOSYALARI'!$Q$2:$Q$300))</f>
        <v/>
      </c>
      <c r="F47" s="9">
        <f>IF($A47="","",SUMIF('İCRA DOSYALARI'!$A$2:$A$300,$A47,'İCRA DOSYALARI'!$R$2:$R$300))</f>
        <v/>
      </c>
      <c r="G47" s="7">
        <f>IF($A47="","",IFERROR(INDEX('İCRA DOSYALARI'!$E$2:$E$300,MATCH($A47&amp;"|ÖDEMEDE",'İCRA DOSYALARI'!$V$2:$V$300,0)),"-"))</f>
        <v/>
      </c>
      <c r="H47" s="9">
        <f>IF($A47="","",IFERROR(INDEX('İCRA DOSYALARI'!$R$2:$R$300,MATCH($A47&amp;"|ÖDEMEDE",'İCRA DOSYALARI'!$V$2:$V$300,0)),"-"))</f>
        <v/>
      </c>
      <c r="I47" s="9">
        <f>IF($A47="","",SUMIF('İCRA DOSYALARI'!$A$2:$A$300,$A47,'İCRA DOSYALARI'!$N$2:$N$300))</f>
        <v/>
      </c>
    </row>
    <row r="48">
      <c r="A48" s="7" t="n"/>
      <c r="B48" s="9">
        <f>IF($A48="","",IFERROR(VLOOKUP($A48,PERSONEL!$A$2:$C$300,3,0),""))</f>
        <v/>
      </c>
      <c r="C48" s="7">
        <f>IF($A48="","",COUNTIF('İCRA DOSYALARI'!$A$2:$A$300,$A48))</f>
        <v/>
      </c>
      <c r="D48" s="9">
        <f>IF($A48="","",SUMIF('İCRA DOSYALARI'!$A$2:$A$300,$A48,'İCRA DOSYALARI'!$I$2:$I$300))</f>
        <v/>
      </c>
      <c r="E48" s="9">
        <f>IF($A48="","",SUMIF('İCRA DOSYALARI'!$A$2:$A$300,$A48,'İCRA DOSYALARI'!$Q$2:$Q$300))</f>
        <v/>
      </c>
      <c r="F48" s="9">
        <f>IF($A48="","",SUMIF('İCRA DOSYALARI'!$A$2:$A$300,$A48,'İCRA DOSYALARI'!$R$2:$R$300))</f>
        <v/>
      </c>
      <c r="G48" s="7">
        <f>IF($A48="","",IFERROR(INDEX('İCRA DOSYALARI'!$E$2:$E$300,MATCH($A48&amp;"|ÖDEMEDE",'İCRA DOSYALARI'!$V$2:$V$300,0)),"-"))</f>
        <v/>
      </c>
      <c r="H48" s="9">
        <f>IF($A48="","",IFERROR(INDEX('İCRA DOSYALARI'!$R$2:$R$300,MATCH($A48&amp;"|ÖDEMEDE",'İCRA DOSYALARI'!$V$2:$V$300,0)),"-"))</f>
        <v/>
      </c>
      <c r="I48" s="9">
        <f>IF($A48="","",SUMIF('İCRA DOSYALARI'!$A$2:$A$300,$A48,'İCRA DOSYALARI'!$N$2:$N$300))</f>
        <v/>
      </c>
    </row>
    <row r="49">
      <c r="A49" s="7" t="n"/>
      <c r="B49" s="9">
        <f>IF($A49="","",IFERROR(VLOOKUP($A49,PERSONEL!$A$2:$C$300,3,0),""))</f>
        <v/>
      </c>
      <c r="C49" s="7">
        <f>IF($A49="","",COUNTIF('İCRA DOSYALARI'!$A$2:$A$300,$A49))</f>
        <v/>
      </c>
      <c r="D49" s="9">
        <f>IF($A49="","",SUMIF('İCRA DOSYALARI'!$A$2:$A$300,$A49,'İCRA DOSYALARI'!$I$2:$I$300))</f>
        <v/>
      </c>
      <c r="E49" s="9">
        <f>IF($A49="","",SUMIF('İCRA DOSYALARI'!$A$2:$A$300,$A49,'İCRA DOSYALARI'!$Q$2:$Q$300))</f>
        <v/>
      </c>
      <c r="F49" s="9">
        <f>IF($A49="","",SUMIF('İCRA DOSYALARI'!$A$2:$A$300,$A49,'İCRA DOSYALARI'!$R$2:$R$300))</f>
        <v/>
      </c>
      <c r="G49" s="7">
        <f>IF($A49="","",IFERROR(INDEX('İCRA DOSYALARI'!$E$2:$E$300,MATCH($A49&amp;"|ÖDEMEDE",'İCRA DOSYALARI'!$V$2:$V$300,0)),"-"))</f>
        <v/>
      </c>
      <c r="H49" s="9">
        <f>IF($A49="","",IFERROR(INDEX('İCRA DOSYALARI'!$R$2:$R$300,MATCH($A49&amp;"|ÖDEMEDE",'İCRA DOSYALARI'!$V$2:$V$300,0)),"-"))</f>
        <v/>
      </c>
      <c r="I49" s="9">
        <f>IF($A49="","",SUMIF('İCRA DOSYALARI'!$A$2:$A$300,$A49,'İCRA DOSYALARI'!$N$2:$N$300))</f>
        <v/>
      </c>
    </row>
    <row r="50">
      <c r="A50" s="7" t="n"/>
      <c r="B50" s="9">
        <f>IF($A50="","",IFERROR(VLOOKUP($A50,PERSONEL!$A$2:$C$300,3,0),""))</f>
        <v/>
      </c>
      <c r="C50" s="7">
        <f>IF($A50="","",COUNTIF('İCRA DOSYALARI'!$A$2:$A$300,$A50))</f>
        <v/>
      </c>
      <c r="D50" s="9">
        <f>IF($A50="","",SUMIF('İCRA DOSYALARI'!$A$2:$A$300,$A50,'İCRA DOSYALARI'!$I$2:$I$300))</f>
        <v/>
      </c>
      <c r="E50" s="9">
        <f>IF($A50="","",SUMIF('İCRA DOSYALARI'!$A$2:$A$300,$A50,'İCRA DOSYALARI'!$Q$2:$Q$300))</f>
        <v/>
      </c>
      <c r="F50" s="9">
        <f>IF($A50="","",SUMIF('İCRA DOSYALARI'!$A$2:$A$300,$A50,'İCRA DOSYALARI'!$R$2:$R$300))</f>
        <v/>
      </c>
      <c r="G50" s="7">
        <f>IF($A50="","",IFERROR(INDEX('İCRA DOSYALARI'!$E$2:$E$300,MATCH($A50&amp;"|ÖDEMEDE",'İCRA DOSYALARI'!$V$2:$V$300,0)),"-"))</f>
        <v/>
      </c>
      <c r="H50" s="9">
        <f>IF($A50="","",IFERROR(INDEX('İCRA DOSYALARI'!$R$2:$R$300,MATCH($A50&amp;"|ÖDEMEDE",'İCRA DOSYALARI'!$V$2:$V$300,0)),"-"))</f>
        <v/>
      </c>
      <c r="I50" s="9">
        <f>IF($A50="","",SUMIF('İCRA DOSYALARI'!$A$2:$A$300,$A50,'İCRA DOSYALARI'!$N$2:$N$300))</f>
        <v/>
      </c>
    </row>
    <row r="51">
      <c r="A51" s="7" t="n"/>
      <c r="B51" s="9">
        <f>IF($A51="","",IFERROR(VLOOKUP($A51,PERSONEL!$A$2:$C$300,3,0),""))</f>
        <v/>
      </c>
      <c r="C51" s="7">
        <f>IF($A51="","",COUNTIF('İCRA DOSYALARI'!$A$2:$A$300,$A51))</f>
        <v/>
      </c>
      <c r="D51" s="9">
        <f>IF($A51="","",SUMIF('İCRA DOSYALARI'!$A$2:$A$300,$A51,'İCRA DOSYALARI'!$I$2:$I$300))</f>
        <v/>
      </c>
      <c r="E51" s="9">
        <f>IF($A51="","",SUMIF('İCRA DOSYALARI'!$A$2:$A$300,$A51,'İCRA DOSYALARI'!$Q$2:$Q$300))</f>
        <v/>
      </c>
      <c r="F51" s="9">
        <f>IF($A51="","",SUMIF('İCRA DOSYALARI'!$A$2:$A$300,$A51,'İCRA DOSYALARI'!$R$2:$R$300))</f>
        <v/>
      </c>
      <c r="G51" s="7">
        <f>IF($A51="","",IFERROR(INDEX('İCRA DOSYALARI'!$E$2:$E$300,MATCH($A51&amp;"|ÖDEMEDE",'İCRA DOSYALARI'!$V$2:$V$300,0)),"-"))</f>
        <v/>
      </c>
      <c r="H51" s="9">
        <f>IF($A51="","",IFERROR(INDEX('İCRA DOSYALARI'!$R$2:$R$300,MATCH($A51&amp;"|ÖDEMEDE",'İCRA DOSYALARI'!$V$2:$V$300,0)),"-"))</f>
        <v/>
      </c>
      <c r="I51" s="9">
        <f>IF($A51="","",SUMIF('İCRA DOSYALARI'!$A$2:$A$300,$A51,'İCRA DOSYALARI'!$N$2:$N$300))</f>
        <v/>
      </c>
    </row>
    <row r="52">
      <c r="A52" s="7" t="n"/>
      <c r="B52" s="9">
        <f>IF($A52="","",IFERROR(VLOOKUP($A52,PERSONEL!$A$2:$C$300,3,0),""))</f>
        <v/>
      </c>
      <c r="C52" s="7">
        <f>IF($A52="","",COUNTIF('İCRA DOSYALARI'!$A$2:$A$300,$A52))</f>
        <v/>
      </c>
      <c r="D52" s="9">
        <f>IF($A52="","",SUMIF('İCRA DOSYALARI'!$A$2:$A$300,$A52,'İCRA DOSYALARI'!$I$2:$I$300))</f>
        <v/>
      </c>
      <c r="E52" s="9">
        <f>IF($A52="","",SUMIF('İCRA DOSYALARI'!$A$2:$A$300,$A52,'İCRA DOSYALARI'!$Q$2:$Q$300))</f>
        <v/>
      </c>
      <c r="F52" s="9">
        <f>IF($A52="","",SUMIF('İCRA DOSYALARI'!$A$2:$A$300,$A52,'İCRA DOSYALARI'!$R$2:$R$300))</f>
        <v/>
      </c>
      <c r="G52" s="7">
        <f>IF($A52="","",IFERROR(INDEX('İCRA DOSYALARI'!$E$2:$E$300,MATCH($A52&amp;"|ÖDEMEDE",'İCRA DOSYALARI'!$V$2:$V$300,0)),"-"))</f>
        <v/>
      </c>
      <c r="H52" s="9">
        <f>IF($A52="","",IFERROR(INDEX('İCRA DOSYALARI'!$R$2:$R$300,MATCH($A52&amp;"|ÖDEMEDE",'İCRA DOSYALARI'!$V$2:$V$300,0)),"-"))</f>
        <v/>
      </c>
      <c r="I52" s="9">
        <f>IF($A52="","",SUMIF('İCRA DOSYALARI'!$A$2:$A$300,$A52,'İCRA DOSYALARI'!$N$2:$N$300))</f>
        <v/>
      </c>
    </row>
    <row r="53">
      <c r="A53" s="7" t="n"/>
      <c r="B53" s="9">
        <f>IF($A53="","",IFERROR(VLOOKUP($A53,PERSONEL!$A$2:$C$300,3,0),""))</f>
        <v/>
      </c>
      <c r="C53" s="7">
        <f>IF($A53="","",COUNTIF('İCRA DOSYALARI'!$A$2:$A$300,$A53))</f>
        <v/>
      </c>
      <c r="D53" s="9">
        <f>IF($A53="","",SUMIF('İCRA DOSYALARI'!$A$2:$A$300,$A53,'İCRA DOSYALARI'!$I$2:$I$300))</f>
        <v/>
      </c>
      <c r="E53" s="9">
        <f>IF($A53="","",SUMIF('İCRA DOSYALARI'!$A$2:$A$300,$A53,'İCRA DOSYALARI'!$Q$2:$Q$300))</f>
        <v/>
      </c>
      <c r="F53" s="9">
        <f>IF($A53="","",SUMIF('İCRA DOSYALARI'!$A$2:$A$300,$A53,'İCRA DOSYALARI'!$R$2:$R$300))</f>
        <v/>
      </c>
      <c r="G53" s="7">
        <f>IF($A53="","",IFERROR(INDEX('İCRA DOSYALARI'!$E$2:$E$300,MATCH($A53&amp;"|ÖDEMEDE",'İCRA DOSYALARI'!$V$2:$V$300,0)),"-"))</f>
        <v/>
      </c>
      <c r="H53" s="9">
        <f>IF($A53="","",IFERROR(INDEX('İCRA DOSYALARI'!$R$2:$R$300,MATCH($A53&amp;"|ÖDEMEDE",'İCRA DOSYALARI'!$V$2:$V$300,0)),"-"))</f>
        <v/>
      </c>
      <c r="I53" s="9">
        <f>IF($A53="","",SUMIF('İCRA DOSYALARI'!$A$2:$A$300,$A53,'İCRA DOSYALARI'!$N$2:$N$300))</f>
        <v/>
      </c>
    </row>
    <row r="54">
      <c r="A54" s="7" t="n"/>
      <c r="B54" s="9">
        <f>IF($A54="","",IFERROR(VLOOKUP($A54,PERSONEL!$A$2:$C$300,3,0),""))</f>
        <v/>
      </c>
      <c r="C54" s="7">
        <f>IF($A54="","",COUNTIF('İCRA DOSYALARI'!$A$2:$A$300,$A54))</f>
        <v/>
      </c>
      <c r="D54" s="9">
        <f>IF($A54="","",SUMIF('İCRA DOSYALARI'!$A$2:$A$300,$A54,'İCRA DOSYALARI'!$I$2:$I$300))</f>
        <v/>
      </c>
      <c r="E54" s="9">
        <f>IF($A54="","",SUMIF('İCRA DOSYALARI'!$A$2:$A$300,$A54,'İCRA DOSYALARI'!$Q$2:$Q$300))</f>
        <v/>
      </c>
      <c r="F54" s="9">
        <f>IF($A54="","",SUMIF('İCRA DOSYALARI'!$A$2:$A$300,$A54,'İCRA DOSYALARI'!$R$2:$R$300))</f>
        <v/>
      </c>
      <c r="G54" s="7">
        <f>IF($A54="","",IFERROR(INDEX('İCRA DOSYALARI'!$E$2:$E$300,MATCH($A54&amp;"|ÖDEMEDE",'İCRA DOSYALARI'!$V$2:$V$300,0)),"-"))</f>
        <v/>
      </c>
      <c r="H54" s="9">
        <f>IF($A54="","",IFERROR(INDEX('İCRA DOSYALARI'!$R$2:$R$300,MATCH($A54&amp;"|ÖDEMEDE",'İCRA DOSYALARI'!$V$2:$V$300,0)),"-"))</f>
        <v/>
      </c>
      <c r="I54" s="9">
        <f>IF($A54="","",SUMIF('İCRA DOSYALARI'!$A$2:$A$300,$A54,'İCRA DOSYALARI'!$N$2:$N$300))</f>
        <v/>
      </c>
    </row>
    <row r="55">
      <c r="A55" s="7" t="n"/>
      <c r="B55" s="9">
        <f>IF($A55="","",IFERROR(VLOOKUP($A55,PERSONEL!$A$2:$C$300,3,0),""))</f>
        <v/>
      </c>
      <c r="C55" s="7">
        <f>IF($A55="","",COUNTIF('İCRA DOSYALARI'!$A$2:$A$300,$A55))</f>
        <v/>
      </c>
      <c r="D55" s="9">
        <f>IF($A55="","",SUMIF('İCRA DOSYALARI'!$A$2:$A$300,$A55,'İCRA DOSYALARI'!$I$2:$I$300))</f>
        <v/>
      </c>
      <c r="E55" s="9">
        <f>IF($A55="","",SUMIF('İCRA DOSYALARI'!$A$2:$A$300,$A55,'İCRA DOSYALARI'!$Q$2:$Q$300))</f>
        <v/>
      </c>
      <c r="F55" s="9">
        <f>IF($A55="","",SUMIF('İCRA DOSYALARI'!$A$2:$A$300,$A55,'İCRA DOSYALARI'!$R$2:$R$300))</f>
        <v/>
      </c>
      <c r="G55" s="7">
        <f>IF($A55="","",IFERROR(INDEX('İCRA DOSYALARI'!$E$2:$E$300,MATCH($A55&amp;"|ÖDEMEDE",'İCRA DOSYALARI'!$V$2:$V$300,0)),"-"))</f>
        <v/>
      </c>
      <c r="H55" s="9">
        <f>IF($A55="","",IFERROR(INDEX('İCRA DOSYALARI'!$R$2:$R$300,MATCH($A55&amp;"|ÖDEMEDE",'İCRA DOSYALARI'!$V$2:$V$300,0)),"-"))</f>
        <v/>
      </c>
      <c r="I55" s="9">
        <f>IF($A55="","",SUMIF('İCRA DOSYALARI'!$A$2:$A$300,$A55,'İCRA DOSYALARI'!$N$2:$N$300))</f>
        <v/>
      </c>
    </row>
    <row r="56">
      <c r="A56" s="7" t="n"/>
      <c r="B56" s="9">
        <f>IF($A56="","",IFERROR(VLOOKUP($A56,PERSONEL!$A$2:$C$300,3,0),""))</f>
        <v/>
      </c>
      <c r="C56" s="7">
        <f>IF($A56="","",COUNTIF('İCRA DOSYALARI'!$A$2:$A$300,$A56))</f>
        <v/>
      </c>
      <c r="D56" s="9">
        <f>IF($A56="","",SUMIF('İCRA DOSYALARI'!$A$2:$A$300,$A56,'İCRA DOSYALARI'!$I$2:$I$300))</f>
        <v/>
      </c>
      <c r="E56" s="9">
        <f>IF($A56="","",SUMIF('İCRA DOSYALARI'!$A$2:$A$300,$A56,'İCRA DOSYALARI'!$Q$2:$Q$300))</f>
        <v/>
      </c>
      <c r="F56" s="9">
        <f>IF($A56="","",SUMIF('İCRA DOSYALARI'!$A$2:$A$300,$A56,'İCRA DOSYALARI'!$R$2:$R$300))</f>
        <v/>
      </c>
      <c r="G56" s="7">
        <f>IF($A56="","",IFERROR(INDEX('İCRA DOSYALARI'!$E$2:$E$300,MATCH($A56&amp;"|ÖDEMEDE",'İCRA DOSYALARI'!$V$2:$V$300,0)),"-"))</f>
        <v/>
      </c>
      <c r="H56" s="9">
        <f>IF($A56="","",IFERROR(INDEX('İCRA DOSYALARI'!$R$2:$R$300,MATCH($A56&amp;"|ÖDEMEDE",'İCRA DOSYALARI'!$V$2:$V$300,0)),"-"))</f>
        <v/>
      </c>
      <c r="I56" s="9">
        <f>IF($A56="","",SUMIF('İCRA DOSYALARI'!$A$2:$A$300,$A56,'İCRA DOSYALARI'!$N$2:$N$300))</f>
        <v/>
      </c>
    </row>
    <row r="57">
      <c r="A57" s="7" t="n"/>
      <c r="B57" s="9">
        <f>IF($A57="","",IFERROR(VLOOKUP($A57,PERSONEL!$A$2:$C$300,3,0),""))</f>
        <v/>
      </c>
      <c r="C57" s="7">
        <f>IF($A57="","",COUNTIF('İCRA DOSYALARI'!$A$2:$A$300,$A57))</f>
        <v/>
      </c>
      <c r="D57" s="9">
        <f>IF($A57="","",SUMIF('İCRA DOSYALARI'!$A$2:$A$300,$A57,'İCRA DOSYALARI'!$I$2:$I$300))</f>
        <v/>
      </c>
      <c r="E57" s="9">
        <f>IF($A57="","",SUMIF('İCRA DOSYALARI'!$A$2:$A$300,$A57,'İCRA DOSYALARI'!$Q$2:$Q$300))</f>
        <v/>
      </c>
      <c r="F57" s="9">
        <f>IF($A57="","",SUMIF('İCRA DOSYALARI'!$A$2:$A$300,$A57,'İCRA DOSYALARI'!$R$2:$R$300))</f>
        <v/>
      </c>
      <c r="G57" s="7">
        <f>IF($A57="","",IFERROR(INDEX('İCRA DOSYALARI'!$E$2:$E$300,MATCH($A57&amp;"|ÖDEMEDE",'İCRA DOSYALARI'!$V$2:$V$300,0)),"-"))</f>
        <v/>
      </c>
      <c r="H57" s="9">
        <f>IF($A57="","",IFERROR(INDEX('İCRA DOSYALARI'!$R$2:$R$300,MATCH($A57&amp;"|ÖDEMEDE",'İCRA DOSYALARI'!$V$2:$V$300,0)),"-"))</f>
        <v/>
      </c>
      <c r="I57" s="9">
        <f>IF($A57="","",SUMIF('İCRA DOSYALARI'!$A$2:$A$300,$A57,'İCRA DOSYALARI'!$N$2:$N$300))</f>
        <v/>
      </c>
    </row>
    <row r="58">
      <c r="A58" s="7" t="n"/>
      <c r="B58" s="9">
        <f>IF($A58="","",IFERROR(VLOOKUP($A58,PERSONEL!$A$2:$C$300,3,0),""))</f>
        <v/>
      </c>
      <c r="C58" s="7">
        <f>IF($A58="","",COUNTIF('İCRA DOSYALARI'!$A$2:$A$300,$A58))</f>
        <v/>
      </c>
      <c r="D58" s="9">
        <f>IF($A58="","",SUMIF('İCRA DOSYALARI'!$A$2:$A$300,$A58,'İCRA DOSYALARI'!$I$2:$I$300))</f>
        <v/>
      </c>
      <c r="E58" s="9">
        <f>IF($A58="","",SUMIF('İCRA DOSYALARI'!$A$2:$A$300,$A58,'İCRA DOSYALARI'!$Q$2:$Q$300))</f>
        <v/>
      </c>
      <c r="F58" s="9">
        <f>IF($A58="","",SUMIF('İCRA DOSYALARI'!$A$2:$A$300,$A58,'İCRA DOSYALARI'!$R$2:$R$300))</f>
        <v/>
      </c>
      <c r="G58" s="7">
        <f>IF($A58="","",IFERROR(INDEX('İCRA DOSYALARI'!$E$2:$E$300,MATCH($A58&amp;"|ÖDEMEDE",'İCRA DOSYALARI'!$V$2:$V$300,0)),"-"))</f>
        <v/>
      </c>
      <c r="H58" s="9">
        <f>IF($A58="","",IFERROR(INDEX('İCRA DOSYALARI'!$R$2:$R$300,MATCH($A58&amp;"|ÖDEMEDE",'İCRA DOSYALARI'!$V$2:$V$300,0)),"-"))</f>
        <v/>
      </c>
      <c r="I58" s="9">
        <f>IF($A58="","",SUMIF('İCRA DOSYALARI'!$A$2:$A$300,$A58,'İCRA DOSYALARI'!$N$2:$N$300))</f>
        <v/>
      </c>
    </row>
    <row r="59">
      <c r="A59" s="7" t="n"/>
      <c r="B59" s="9">
        <f>IF($A59="","",IFERROR(VLOOKUP($A59,PERSONEL!$A$2:$C$300,3,0),""))</f>
        <v/>
      </c>
      <c r="C59" s="7">
        <f>IF($A59="","",COUNTIF('İCRA DOSYALARI'!$A$2:$A$300,$A59))</f>
        <v/>
      </c>
      <c r="D59" s="9">
        <f>IF($A59="","",SUMIF('İCRA DOSYALARI'!$A$2:$A$300,$A59,'İCRA DOSYALARI'!$I$2:$I$300))</f>
        <v/>
      </c>
      <c r="E59" s="9">
        <f>IF($A59="","",SUMIF('İCRA DOSYALARI'!$A$2:$A$300,$A59,'İCRA DOSYALARI'!$Q$2:$Q$300))</f>
        <v/>
      </c>
      <c r="F59" s="9">
        <f>IF($A59="","",SUMIF('İCRA DOSYALARI'!$A$2:$A$300,$A59,'İCRA DOSYALARI'!$R$2:$R$300))</f>
        <v/>
      </c>
      <c r="G59" s="7">
        <f>IF($A59="","",IFERROR(INDEX('İCRA DOSYALARI'!$E$2:$E$300,MATCH($A59&amp;"|ÖDEMEDE",'İCRA DOSYALARI'!$V$2:$V$300,0)),"-"))</f>
        <v/>
      </c>
      <c r="H59" s="9">
        <f>IF($A59="","",IFERROR(INDEX('İCRA DOSYALARI'!$R$2:$R$300,MATCH($A59&amp;"|ÖDEMEDE",'İCRA DOSYALARI'!$V$2:$V$300,0)),"-"))</f>
        <v/>
      </c>
      <c r="I59" s="9">
        <f>IF($A59="","",SUMIF('İCRA DOSYALARI'!$A$2:$A$300,$A59,'İCRA DOSYALARI'!$N$2:$N$300))</f>
        <v/>
      </c>
    </row>
    <row r="60">
      <c r="A60" s="7" t="n"/>
      <c r="B60" s="9">
        <f>IF($A60="","",IFERROR(VLOOKUP($A60,PERSONEL!$A$2:$C$300,3,0),""))</f>
        <v/>
      </c>
      <c r="C60" s="7">
        <f>IF($A60="","",COUNTIF('İCRA DOSYALARI'!$A$2:$A$300,$A60))</f>
        <v/>
      </c>
      <c r="D60" s="9">
        <f>IF($A60="","",SUMIF('İCRA DOSYALARI'!$A$2:$A$300,$A60,'İCRA DOSYALARI'!$I$2:$I$300))</f>
        <v/>
      </c>
      <c r="E60" s="9">
        <f>IF($A60="","",SUMIF('İCRA DOSYALARI'!$A$2:$A$300,$A60,'İCRA DOSYALARI'!$Q$2:$Q$300))</f>
        <v/>
      </c>
      <c r="F60" s="9">
        <f>IF($A60="","",SUMIF('İCRA DOSYALARI'!$A$2:$A$300,$A60,'İCRA DOSYALARI'!$R$2:$R$300))</f>
        <v/>
      </c>
      <c r="G60" s="7">
        <f>IF($A60="","",IFERROR(INDEX('İCRA DOSYALARI'!$E$2:$E$300,MATCH($A60&amp;"|ÖDEMEDE",'İCRA DOSYALARI'!$V$2:$V$300,0)),"-"))</f>
        <v/>
      </c>
      <c r="H60" s="9">
        <f>IF($A60="","",IFERROR(INDEX('İCRA DOSYALARI'!$R$2:$R$300,MATCH($A60&amp;"|ÖDEMEDE",'İCRA DOSYALARI'!$V$2:$V$300,0)),"-"))</f>
        <v/>
      </c>
      <c r="I60" s="9">
        <f>IF($A60="","",SUMIF('İCRA DOSYALARI'!$A$2:$A$300,$A60,'İCRA DOSYALARI'!$N$2:$N$300))</f>
        <v/>
      </c>
    </row>
    <row r="61">
      <c r="A61" s="7" t="n"/>
      <c r="B61" s="9">
        <f>IF($A61="","",IFERROR(VLOOKUP($A61,PERSONEL!$A$2:$C$300,3,0),""))</f>
        <v/>
      </c>
      <c r="C61" s="7">
        <f>IF($A61="","",COUNTIF('İCRA DOSYALARI'!$A$2:$A$300,$A61))</f>
        <v/>
      </c>
      <c r="D61" s="9">
        <f>IF($A61="","",SUMIF('İCRA DOSYALARI'!$A$2:$A$300,$A61,'İCRA DOSYALARI'!$I$2:$I$300))</f>
        <v/>
      </c>
      <c r="E61" s="9">
        <f>IF($A61="","",SUMIF('İCRA DOSYALARI'!$A$2:$A$300,$A61,'İCRA DOSYALARI'!$Q$2:$Q$300))</f>
        <v/>
      </c>
      <c r="F61" s="9">
        <f>IF($A61="","",SUMIF('İCRA DOSYALARI'!$A$2:$A$300,$A61,'İCRA DOSYALARI'!$R$2:$R$300))</f>
        <v/>
      </c>
      <c r="G61" s="7">
        <f>IF($A61="","",IFERROR(INDEX('İCRA DOSYALARI'!$E$2:$E$300,MATCH($A61&amp;"|ÖDEMEDE",'İCRA DOSYALARI'!$V$2:$V$300,0)),"-"))</f>
        <v/>
      </c>
      <c r="H61" s="9">
        <f>IF($A61="","",IFERROR(INDEX('İCRA DOSYALARI'!$R$2:$R$300,MATCH($A61&amp;"|ÖDEMEDE",'İCRA DOSYALARI'!$V$2:$V$300,0)),"-"))</f>
        <v/>
      </c>
      <c r="I61" s="9">
        <f>IF($A61="","",SUMIF('İCRA DOSYALARI'!$A$2:$A$300,$A61,'İCRA DOSYALARI'!$N$2:$N$300))</f>
        <v/>
      </c>
    </row>
    <row r="62">
      <c r="A62" s="7" t="n"/>
      <c r="B62" s="9">
        <f>IF($A62="","",IFERROR(VLOOKUP($A62,PERSONEL!$A$2:$C$300,3,0),""))</f>
        <v/>
      </c>
      <c r="C62" s="7">
        <f>IF($A62="","",COUNTIF('İCRA DOSYALARI'!$A$2:$A$300,$A62))</f>
        <v/>
      </c>
      <c r="D62" s="9">
        <f>IF($A62="","",SUMIF('İCRA DOSYALARI'!$A$2:$A$300,$A62,'İCRA DOSYALARI'!$I$2:$I$300))</f>
        <v/>
      </c>
      <c r="E62" s="9">
        <f>IF($A62="","",SUMIF('İCRA DOSYALARI'!$A$2:$A$300,$A62,'İCRA DOSYALARI'!$Q$2:$Q$300))</f>
        <v/>
      </c>
      <c r="F62" s="9">
        <f>IF($A62="","",SUMIF('İCRA DOSYALARI'!$A$2:$A$300,$A62,'İCRA DOSYALARI'!$R$2:$R$300))</f>
        <v/>
      </c>
      <c r="G62" s="7">
        <f>IF($A62="","",IFERROR(INDEX('İCRA DOSYALARI'!$E$2:$E$300,MATCH($A62&amp;"|ÖDEMEDE",'İCRA DOSYALARI'!$V$2:$V$300,0)),"-"))</f>
        <v/>
      </c>
      <c r="H62" s="9">
        <f>IF($A62="","",IFERROR(INDEX('İCRA DOSYALARI'!$R$2:$R$300,MATCH($A62&amp;"|ÖDEMEDE",'İCRA DOSYALARI'!$V$2:$V$300,0)),"-"))</f>
        <v/>
      </c>
      <c r="I62" s="9">
        <f>IF($A62="","",SUMIF('İCRA DOSYALARI'!$A$2:$A$300,$A62,'İCRA DOSYALARI'!$N$2:$N$300))</f>
        <v/>
      </c>
    </row>
    <row r="63">
      <c r="A63" s="7" t="n"/>
      <c r="B63" s="9">
        <f>IF($A63="","",IFERROR(VLOOKUP($A63,PERSONEL!$A$2:$C$300,3,0),""))</f>
        <v/>
      </c>
      <c r="C63" s="7">
        <f>IF($A63="","",COUNTIF('İCRA DOSYALARI'!$A$2:$A$300,$A63))</f>
        <v/>
      </c>
      <c r="D63" s="9">
        <f>IF($A63="","",SUMIF('İCRA DOSYALARI'!$A$2:$A$300,$A63,'İCRA DOSYALARI'!$I$2:$I$300))</f>
        <v/>
      </c>
      <c r="E63" s="9">
        <f>IF($A63="","",SUMIF('İCRA DOSYALARI'!$A$2:$A$300,$A63,'İCRA DOSYALARI'!$Q$2:$Q$300))</f>
        <v/>
      </c>
      <c r="F63" s="9">
        <f>IF($A63="","",SUMIF('İCRA DOSYALARI'!$A$2:$A$300,$A63,'İCRA DOSYALARI'!$R$2:$R$300))</f>
        <v/>
      </c>
      <c r="G63" s="7">
        <f>IF($A63="","",IFERROR(INDEX('İCRA DOSYALARI'!$E$2:$E$300,MATCH($A63&amp;"|ÖDEMEDE",'İCRA DOSYALARI'!$V$2:$V$300,0)),"-"))</f>
        <v/>
      </c>
      <c r="H63" s="9">
        <f>IF($A63="","",IFERROR(INDEX('İCRA DOSYALARI'!$R$2:$R$300,MATCH($A63&amp;"|ÖDEMEDE",'İCRA DOSYALARI'!$V$2:$V$300,0)),"-"))</f>
        <v/>
      </c>
      <c r="I63" s="9">
        <f>IF($A63="","",SUMIF('İCRA DOSYALARI'!$A$2:$A$300,$A63,'İCRA DOSYALARI'!$N$2:$N$300))</f>
        <v/>
      </c>
    </row>
    <row r="64">
      <c r="A64" s="7" t="n"/>
      <c r="B64" s="9">
        <f>IF($A64="","",IFERROR(VLOOKUP($A64,PERSONEL!$A$2:$C$300,3,0),""))</f>
        <v/>
      </c>
      <c r="C64" s="7">
        <f>IF($A64="","",COUNTIF('İCRA DOSYALARI'!$A$2:$A$300,$A64))</f>
        <v/>
      </c>
      <c r="D64" s="9">
        <f>IF($A64="","",SUMIF('İCRA DOSYALARI'!$A$2:$A$300,$A64,'İCRA DOSYALARI'!$I$2:$I$300))</f>
        <v/>
      </c>
      <c r="E64" s="9">
        <f>IF($A64="","",SUMIF('İCRA DOSYALARI'!$A$2:$A$300,$A64,'İCRA DOSYALARI'!$Q$2:$Q$300))</f>
        <v/>
      </c>
      <c r="F64" s="9">
        <f>IF($A64="","",SUMIF('İCRA DOSYALARI'!$A$2:$A$300,$A64,'İCRA DOSYALARI'!$R$2:$R$300))</f>
        <v/>
      </c>
      <c r="G64" s="7">
        <f>IF($A64="","",IFERROR(INDEX('İCRA DOSYALARI'!$E$2:$E$300,MATCH($A64&amp;"|ÖDEMEDE",'İCRA DOSYALARI'!$V$2:$V$300,0)),"-"))</f>
        <v/>
      </c>
      <c r="H64" s="9">
        <f>IF($A64="","",IFERROR(INDEX('İCRA DOSYALARI'!$R$2:$R$300,MATCH($A64&amp;"|ÖDEMEDE",'İCRA DOSYALARI'!$V$2:$V$300,0)),"-"))</f>
        <v/>
      </c>
      <c r="I64" s="9">
        <f>IF($A64="","",SUMIF('İCRA DOSYALARI'!$A$2:$A$300,$A64,'İCRA DOSYALARI'!$N$2:$N$300))</f>
        <v/>
      </c>
    </row>
    <row r="65">
      <c r="A65" s="7" t="n"/>
      <c r="B65" s="9">
        <f>IF($A65="","",IFERROR(VLOOKUP($A65,PERSONEL!$A$2:$C$300,3,0),""))</f>
        <v/>
      </c>
      <c r="C65" s="7">
        <f>IF($A65="","",COUNTIF('İCRA DOSYALARI'!$A$2:$A$300,$A65))</f>
        <v/>
      </c>
      <c r="D65" s="9">
        <f>IF($A65="","",SUMIF('İCRA DOSYALARI'!$A$2:$A$300,$A65,'İCRA DOSYALARI'!$I$2:$I$300))</f>
        <v/>
      </c>
      <c r="E65" s="9">
        <f>IF($A65="","",SUMIF('İCRA DOSYALARI'!$A$2:$A$300,$A65,'İCRA DOSYALARI'!$Q$2:$Q$300))</f>
        <v/>
      </c>
      <c r="F65" s="9">
        <f>IF($A65="","",SUMIF('İCRA DOSYALARI'!$A$2:$A$300,$A65,'İCRA DOSYALARI'!$R$2:$R$300))</f>
        <v/>
      </c>
      <c r="G65" s="7">
        <f>IF($A65="","",IFERROR(INDEX('İCRA DOSYALARI'!$E$2:$E$300,MATCH($A65&amp;"|ÖDEMEDE",'İCRA DOSYALARI'!$V$2:$V$300,0)),"-"))</f>
        <v/>
      </c>
      <c r="H65" s="9">
        <f>IF($A65="","",IFERROR(INDEX('İCRA DOSYALARI'!$R$2:$R$300,MATCH($A65&amp;"|ÖDEMEDE",'İCRA DOSYALARI'!$V$2:$V$300,0)),"-"))</f>
        <v/>
      </c>
      <c r="I65" s="9">
        <f>IF($A65="","",SUMIF('İCRA DOSYALARI'!$A$2:$A$300,$A65,'İCRA DOSYALARI'!$N$2:$N$300))</f>
        <v/>
      </c>
    </row>
    <row r="66">
      <c r="A66" s="7" t="n"/>
      <c r="B66" s="9">
        <f>IF($A66="","",IFERROR(VLOOKUP($A66,PERSONEL!$A$2:$C$300,3,0),""))</f>
        <v/>
      </c>
      <c r="C66" s="7">
        <f>IF($A66="","",COUNTIF('İCRA DOSYALARI'!$A$2:$A$300,$A66))</f>
        <v/>
      </c>
      <c r="D66" s="9">
        <f>IF($A66="","",SUMIF('İCRA DOSYALARI'!$A$2:$A$300,$A66,'İCRA DOSYALARI'!$I$2:$I$300))</f>
        <v/>
      </c>
      <c r="E66" s="9">
        <f>IF($A66="","",SUMIF('İCRA DOSYALARI'!$A$2:$A$300,$A66,'İCRA DOSYALARI'!$Q$2:$Q$300))</f>
        <v/>
      </c>
      <c r="F66" s="9">
        <f>IF($A66="","",SUMIF('İCRA DOSYALARI'!$A$2:$A$300,$A66,'İCRA DOSYALARI'!$R$2:$R$300))</f>
        <v/>
      </c>
      <c r="G66" s="7">
        <f>IF($A66="","",IFERROR(INDEX('İCRA DOSYALARI'!$E$2:$E$300,MATCH($A66&amp;"|ÖDEMEDE",'İCRA DOSYALARI'!$V$2:$V$300,0)),"-"))</f>
        <v/>
      </c>
      <c r="H66" s="9">
        <f>IF($A66="","",IFERROR(INDEX('İCRA DOSYALARI'!$R$2:$R$300,MATCH($A66&amp;"|ÖDEMEDE",'İCRA DOSYALARI'!$V$2:$V$300,0)),"-"))</f>
        <v/>
      </c>
      <c r="I66" s="9">
        <f>IF($A66="","",SUMIF('İCRA DOSYALARI'!$A$2:$A$300,$A66,'İCRA DOSYALARI'!$N$2:$N$300))</f>
        <v/>
      </c>
    </row>
    <row r="67">
      <c r="A67" s="7" t="n"/>
      <c r="B67" s="9">
        <f>IF($A67="","",IFERROR(VLOOKUP($A67,PERSONEL!$A$2:$C$300,3,0),""))</f>
        <v/>
      </c>
      <c r="C67" s="7">
        <f>IF($A67="","",COUNTIF('İCRA DOSYALARI'!$A$2:$A$300,$A67))</f>
        <v/>
      </c>
      <c r="D67" s="9">
        <f>IF($A67="","",SUMIF('İCRA DOSYALARI'!$A$2:$A$300,$A67,'İCRA DOSYALARI'!$I$2:$I$300))</f>
        <v/>
      </c>
      <c r="E67" s="9">
        <f>IF($A67="","",SUMIF('İCRA DOSYALARI'!$A$2:$A$300,$A67,'İCRA DOSYALARI'!$Q$2:$Q$300))</f>
        <v/>
      </c>
      <c r="F67" s="9">
        <f>IF($A67="","",SUMIF('İCRA DOSYALARI'!$A$2:$A$300,$A67,'İCRA DOSYALARI'!$R$2:$R$300))</f>
        <v/>
      </c>
      <c r="G67" s="7">
        <f>IF($A67="","",IFERROR(INDEX('İCRA DOSYALARI'!$E$2:$E$300,MATCH($A67&amp;"|ÖDEMEDE",'İCRA DOSYALARI'!$V$2:$V$300,0)),"-"))</f>
        <v/>
      </c>
      <c r="H67" s="9">
        <f>IF($A67="","",IFERROR(INDEX('İCRA DOSYALARI'!$R$2:$R$300,MATCH($A67&amp;"|ÖDEMEDE",'İCRA DOSYALARI'!$V$2:$V$300,0)),"-"))</f>
        <v/>
      </c>
      <c r="I67" s="9">
        <f>IF($A67="","",SUMIF('İCRA DOSYALARI'!$A$2:$A$300,$A67,'İCRA DOSYALARI'!$N$2:$N$300))</f>
        <v/>
      </c>
    </row>
    <row r="68">
      <c r="A68" s="7" t="n"/>
      <c r="B68" s="9">
        <f>IF($A68="","",IFERROR(VLOOKUP($A68,PERSONEL!$A$2:$C$300,3,0),""))</f>
        <v/>
      </c>
      <c r="C68" s="7">
        <f>IF($A68="","",COUNTIF('İCRA DOSYALARI'!$A$2:$A$300,$A68))</f>
        <v/>
      </c>
      <c r="D68" s="9">
        <f>IF($A68="","",SUMIF('İCRA DOSYALARI'!$A$2:$A$300,$A68,'İCRA DOSYALARI'!$I$2:$I$300))</f>
        <v/>
      </c>
      <c r="E68" s="9">
        <f>IF($A68="","",SUMIF('İCRA DOSYALARI'!$A$2:$A$300,$A68,'İCRA DOSYALARI'!$Q$2:$Q$300))</f>
        <v/>
      </c>
      <c r="F68" s="9">
        <f>IF($A68="","",SUMIF('İCRA DOSYALARI'!$A$2:$A$300,$A68,'İCRA DOSYALARI'!$R$2:$R$300))</f>
        <v/>
      </c>
      <c r="G68" s="7">
        <f>IF($A68="","",IFERROR(INDEX('İCRA DOSYALARI'!$E$2:$E$300,MATCH($A68&amp;"|ÖDEMEDE",'İCRA DOSYALARI'!$V$2:$V$300,0)),"-"))</f>
        <v/>
      </c>
      <c r="H68" s="9">
        <f>IF($A68="","",IFERROR(INDEX('İCRA DOSYALARI'!$R$2:$R$300,MATCH($A68&amp;"|ÖDEMEDE",'İCRA DOSYALARI'!$V$2:$V$300,0)),"-"))</f>
        <v/>
      </c>
      <c r="I68" s="9">
        <f>IF($A68="","",SUMIF('İCRA DOSYALARI'!$A$2:$A$300,$A68,'İCRA DOSYALARI'!$N$2:$N$300))</f>
        <v/>
      </c>
    </row>
    <row r="69">
      <c r="A69" s="7" t="n"/>
      <c r="B69" s="9">
        <f>IF($A69="","",IFERROR(VLOOKUP($A69,PERSONEL!$A$2:$C$300,3,0),""))</f>
        <v/>
      </c>
      <c r="C69" s="7">
        <f>IF($A69="","",COUNTIF('İCRA DOSYALARI'!$A$2:$A$300,$A69))</f>
        <v/>
      </c>
      <c r="D69" s="9">
        <f>IF($A69="","",SUMIF('İCRA DOSYALARI'!$A$2:$A$300,$A69,'İCRA DOSYALARI'!$I$2:$I$300))</f>
        <v/>
      </c>
      <c r="E69" s="9">
        <f>IF($A69="","",SUMIF('İCRA DOSYALARI'!$A$2:$A$300,$A69,'İCRA DOSYALARI'!$Q$2:$Q$300))</f>
        <v/>
      </c>
      <c r="F69" s="9">
        <f>IF($A69="","",SUMIF('İCRA DOSYALARI'!$A$2:$A$300,$A69,'İCRA DOSYALARI'!$R$2:$R$300))</f>
        <v/>
      </c>
      <c r="G69" s="7">
        <f>IF($A69="","",IFERROR(INDEX('İCRA DOSYALARI'!$E$2:$E$300,MATCH($A69&amp;"|ÖDEMEDE",'İCRA DOSYALARI'!$V$2:$V$300,0)),"-"))</f>
        <v/>
      </c>
      <c r="H69" s="9">
        <f>IF($A69="","",IFERROR(INDEX('İCRA DOSYALARI'!$R$2:$R$300,MATCH($A69&amp;"|ÖDEMEDE",'İCRA DOSYALARI'!$V$2:$V$300,0)),"-"))</f>
        <v/>
      </c>
      <c r="I69" s="9">
        <f>IF($A69="","",SUMIF('İCRA DOSYALARI'!$A$2:$A$300,$A69,'İCRA DOSYALARI'!$N$2:$N$300))</f>
        <v/>
      </c>
    </row>
    <row r="70">
      <c r="A70" s="7" t="n"/>
      <c r="B70" s="9">
        <f>IF($A70="","",IFERROR(VLOOKUP($A70,PERSONEL!$A$2:$C$300,3,0),""))</f>
        <v/>
      </c>
      <c r="C70" s="7">
        <f>IF($A70="","",COUNTIF('İCRA DOSYALARI'!$A$2:$A$300,$A70))</f>
        <v/>
      </c>
      <c r="D70" s="9">
        <f>IF($A70="","",SUMIF('İCRA DOSYALARI'!$A$2:$A$300,$A70,'İCRA DOSYALARI'!$I$2:$I$300))</f>
        <v/>
      </c>
      <c r="E70" s="9">
        <f>IF($A70="","",SUMIF('İCRA DOSYALARI'!$A$2:$A$300,$A70,'İCRA DOSYALARI'!$Q$2:$Q$300))</f>
        <v/>
      </c>
      <c r="F70" s="9">
        <f>IF($A70="","",SUMIF('İCRA DOSYALARI'!$A$2:$A$300,$A70,'İCRA DOSYALARI'!$R$2:$R$300))</f>
        <v/>
      </c>
      <c r="G70" s="7">
        <f>IF($A70="","",IFERROR(INDEX('İCRA DOSYALARI'!$E$2:$E$300,MATCH($A70&amp;"|ÖDEMEDE",'İCRA DOSYALARI'!$V$2:$V$300,0)),"-"))</f>
        <v/>
      </c>
      <c r="H70" s="9">
        <f>IF($A70="","",IFERROR(INDEX('İCRA DOSYALARI'!$R$2:$R$300,MATCH($A70&amp;"|ÖDEMEDE",'İCRA DOSYALARI'!$V$2:$V$300,0)),"-"))</f>
        <v/>
      </c>
      <c r="I70" s="9">
        <f>IF($A70="","",SUMIF('İCRA DOSYALARI'!$A$2:$A$300,$A70,'İCRA DOSYALARI'!$N$2:$N$300))</f>
        <v/>
      </c>
    </row>
    <row r="71">
      <c r="A71" s="7" t="n"/>
      <c r="B71" s="9">
        <f>IF($A71="","",IFERROR(VLOOKUP($A71,PERSONEL!$A$2:$C$300,3,0),""))</f>
        <v/>
      </c>
      <c r="C71" s="7">
        <f>IF($A71="","",COUNTIF('İCRA DOSYALARI'!$A$2:$A$300,$A71))</f>
        <v/>
      </c>
      <c r="D71" s="9">
        <f>IF($A71="","",SUMIF('İCRA DOSYALARI'!$A$2:$A$300,$A71,'İCRA DOSYALARI'!$I$2:$I$300))</f>
        <v/>
      </c>
      <c r="E71" s="9">
        <f>IF($A71="","",SUMIF('İCRA DOSYALARI'!$A$2:$A$300,$A71,'İCRA DOSYALARI'!$Q$2:$Q$300))</f>
        <v/>
      </c>
      <c r="F71" s="9">
        <f>IF($A71="","",SUMIF('İCRA DOSYALARI'!$A$2:$A$300,$A71,'İCRA DOSYALARI'!$R$2:$R$300))</f>
        <v/>
      </c>
      <c r="G71" s="7">
        <f>IF($A71="","",IFERROR(INDEX('İCRA DOSYALARI'!$E$2:$E$300,MATCH($A71&amp;"|ÖDEMEDE",'İCRA DOSYALARI'!$V$2:$V$300,0)),"-"))</f>
        <v/>
      </c>
      <c r="H71" s="9">
        <f>IF($A71="","",IFERROR(INDEX('İCRA DOSYALARI'!$R$2:$R$300,MATCH($A71&amp;"|ÖDEMEDE",'İCRA DOSYALARI'!$V$2:$V$300,0)),"-"))</f>
        <v/>
      </c>
      <c r="I71" s="9">
        <f>IF($A71="","",SUMIF('İCRA DOSYALARI'!$A$2:$A$300,$A71,'İCRA DOSYALARI'!$N$2:$N$300))</f>
        <v/>
      </c>
    </row>
    <row r="72">
      <c r="A72" s="7" t="n"/>
      <c r="B72" s="9">
        <f>IF($A72="","",IFERROR(VLOOKUP($A72,PERSONEL!$A$2:$C$300,3,0),""))</f>
        <v/>
      </c>
      <c r="C72" s="7">
        <f>IF($A72="","",COUNTIF('İCRA DOSYALARI'!$A$2:$A$300,$A72))</f>
        <v/>
      </c>
      <c r="D72" s="9">
        <f>IF($A72="","",SUMIF('İCRA DOSYALARI'!$A$2:$A$300,$A72,'İCRA DOSYALARI'!$I$2:$I$300))</f>
        <v/>
      </c>
      <c r="E72" s="9">
        <f>IF($A72="","",SUMIF('İCRA DOSYALARI'!$A$2:$A$300,$A72,'İCRA DOSYALARI'!$Q$2:$Q$300))</f>
        <v/>
      </c>
      <c r="F72" s="9">
        <f>IF($A72="","",SUMIF('İCRA DOSYALARI'!$A$2:$A$300,$A72,'İCRA DOSYALARI'!$R$2:$R$300))</f>
        <v/>
      </c>
      <c r="G72" s="7">
        <f>IF($A72="","",IFERROR(INDEX('İCRA DOSYALARI'!$E$2:$E$300,MATCH($A72&amp;"|ÖDEMEDE",'İCRA DOSYALARI'!$V$2:$V$300,0)),"-"))</f>
        <v/>
      </c>
      <c r="H72" s="9">
        <f>IF($A72="","",IFERROR(INDEX('İCRA DOSYALARI'!$R$2:$R$300,MATCH($A72&amp;"|ÖDEMEDE",'İCRA DOSYALARI'!$V$2:$V$300,0)),"-"))</f>
        <v/>
      </c>
      <c r="I72" s="9">
        <f>IF($A72="","",SUMIF('İCRA DOSYALARI'!$A$2:$A$300,$A72,'İCRA DOSYALARI'!$N$2:$N$300))</f>
        <v/>
      </c>
    </row>
    <row r="73">
      <c r="A73" s="7" t="n"/>
      <c r="B73" s="9">
        <f>IF($A73="","",IFERROR(VLOOKUP($A73,PERSONEL!$A$2:$C$300,3,0),""))</f>
        <v/>
      </c>
      <c r="C73" s="7">
        <f>IF($A73="","",COUNTIF('İCRA DOSYALARI'!$A$2:$A$300,$A73))</f>
        <v/>
      </c>
      <c r="D73" s="9">
        <f>IF($A73="","",SUMIF('İCRA DOSYALARI'!$A$2:$A$300,$A73,'İCRA DOSYALARI'!$I$2:$I$300))</f>
        <v/>
      </c>
      <c r="E73" s="9">
        <f>IF($A73="","",SUMIF('İCRA DOSYALARI'!$A$2:$A$300,$A73,'İCRA DOSYALARI'!$Q$2:$Q$300))</f>
        <v/>
      </c>
      <c r="F73" s="9">
        <f>IF($A73="","",SUMIF('İCRA DOSYALARI'!$A$2:$A$300,$A73,'İCRA DOSYALARI'!$R$2:$R$300))</f>
        <v/>
      </c>
      <c r="G73" s="7">
        <f>IF($A73="","",IFERROR(INDEX('İCRA DOSYALARI'!$E$2:$E$300,MATCH($A73&amp;"|ÖDEMEDE",'İCRA DOSYALARI'!$V$2:$V$300,0)),"-"))</f>
        <v/>
      </c>
      <c r="H73" s="9">
        <f>IF($A73="","",IFERROR(INDEX('İCRA DOSYALARI'!$R$2:$R$300,MATCH($A73&amp;"|ÖDEMEDE",'İCRA DOSYALARI'!$V$2:$V$300,0)),"-"))</f>
        <v/>
      </c>
      <c r="I73" s="9">
        <f>IF($A73="","",SUMIF('İCRA DOSYALARI'!$A$2:$A$300,$A73,'İCRA DOSYALARI'!$N$2:$N$300))</f>
        <v/>
      </c>
    </row>
    <row r="74">
      <c r="A74" s="7" t="n"/>
      <c r="B74" s="9">
        <f>IF($A74="","",IFERROR(VLOOKUP($A74,PERSONEL!$A$2:$C$300,3,0),""))</f>
        <v/>
      </c>
      <c r="C74" s="7">
        <f>IF($A74="","",COUNTIF('İCRA DOSYALARI'!$A$2:$A$300,$A74))</f>
        <v/>
      </c>
      <c r="D74" s="9">
        <f>IF($A74="","",SUMIF('İCRA DOSYALARI'!$A$2:$A$300,$A74,'İCRA DOSYALARI'!$I$2:$I$300))</f>
        <v/>
      </c>
      <c r="E74" s="9">
        <f>IF($A74="","",SUMIF('İCRA DOSYALARI'!$A$2:$A$300,$A74,'İCRA DOSYALARI'!$Q$2:$Q$300))</f>
        <v/>
      </c>
      <c r="F74" s="9">
        <f>IF($A74="","",SUMIF('İCRA DOSYALARI'!$A$2:$A$300,$A74,'İCRA DOSYALARI'!$R$2:$R$300))</f>
        <v/>
      </c>
      <c r="G74" s="7">
        <f>IF($A74="","",IFERROR(INDEX('İCRA DOSYALARI'!$E$2:$E$300,MATCH($A74&amp;"|ÖDEMEDE",'İCRA DOSYALARI'!$V$2:$V$300,0)),"-"))</f>
        <v/>
      </c>
      <c r="H74" s="9">
        <f>IF($A74="","",IFERROR(INDEX('İCRA DOSYALARI'!$R$2:$R$300,MATCH($A74&amp;"|ÖDEMEDE",'İCRA DOSYALARI'!$V$2:$V$300,0)),"-"))</f>
        <v/>
      </c>
      <c r="I74" s="9">
        <f>IF($A74="","",SUMIF('İCRA DOSYALARI'!$A$2:$A$300,$A74,'İCRA DOSYALARI'!$N$2:$N$300))</f>
        <v/>
      </c>
    </row>
    <row r="75">
      <c r="A75" s="7" t="n"/>
      <c r="B75" s="9">
        <f>IF($A75="","",IFERROR(VLOOKUP($A75,PERSONEL!$A$2:$C$300,3,0),""))</f>
        <v/>
      </c>
      <c r="C75" s="7">
        <f>IF($A75="","",COUNTIF('İCRA DOSYALARI'!$A$2:$A$300,$A75))</f>
        <v/>
      </c>
      <c r="D75" s="9">
        <f>IF($A75="","",SUMIF('İCRA DOSYALARI'!$A$2:$A$300,$A75,'İCRA DOSYALARI'!$I$2:$I$300))</f>
        <v/>
      </c>
      <c r="E75" s="9">
        <f>IF($A75="","",SUMIF('İCRA DOSYALARI'!$A$2:$A$300,$A75,'İCRA DOSYALARI'!$Q$2:$Q$300))</f>
        <v/>
      </c>
      <c r="F75" s="9">
        <f>IF($A75="","",SUMIF('İCRA DOSYALARI'!$A$2:$A$300,$A75,'İCRA DOSYALARI'!$R$2:$R$300))</f>
        <v/>
      </c>
      <c r="G75" s="7">
        <f>IF($A75="","",IFERROR(INDEX('İCRA DOSYALARI'!$E$2:$E$300,MATCH($A75&amp;"|ÖDEMEDE",'İCRA DOSYALARI'!$V$2:$V$300,0)),"-"))</f>
        <v/>
      </c>
      <c r="H75" s="9">
        <f>IF($A75="","",IFERROR(INDEX('İCRA DOSYALARI'!$R$2:$R$300,MATCH($A75&amp;"|ÖDEMEDE",'İCRA DOSYALARI'!$V$2:$V$300,0)),"-"))</f>
        <v/>
      </c>
      <c r="I75" s="9">
        <f>IF($A75="","",SUMIF('İCRA DOSYALARI'!$A$2:$A$300,$A75,'İCRA DOSYALARI'!$N$2:$N$300))</f>
        <v/>
      </c>
    </row>
    <row r="76">
      <c r="A76" s="7" t="n"/>
      <c r="B76" s="9">
        <f>IF($A76="","",IFERROR(VLOOKUP($A76,PERSONEL!$A$2:$C$300,3,0),""))</f>
        <v/>
      </c>
      <c r="C76" s="7">
        <f>IF($A76="","",COUNTIF('İCRA DOSYALARI'!$A$2:$A$300,$A76))</f>
        <v/>
      </c>
      <c r="D76" s="9">
        <f>IF($A76="","",SUMIF('İCRA DOSYALARI'!$A$2:$A$300,$A76,'İCRA DOSYALARI'!$I$2:$I$300))</f>
        <v/>
      </c>
      <c r="E76" s="9">
        <f>IF($A76="","",SUMIF('İCRA DOSYALARI'!$A$2:$A$300,$A76,'İCRA DOSYALARI'!$Q$2:$Q$300))</f>
        <v/>
      </c>
      <c r="F76" s="9">
        <f>IF($A76="","",SUMIF('İCRA DOSYALARI'!$A$2:$A$300,$A76,'İCRA DOSYALARI'!$R$2:$R$300))</f>
        <v/>
      </c>
      <c r="G76" s="7">
        <f>IF($A76="","",IFERROR(INDEX('İCRA DOSYALARI'!$E$2:$E$300,MATCH($A76&amp;"|ÖDEMEDE",'İCRA DOSYALARI'!$V$2:$V$300,0)),"-"))</f>
        <v/>
      </c>
      <c r="H76" s="9">
        <f>IF($A76="","",IFERROR(INDEX('İCRA DOSYALARI'!$R$2:$R$300,MATCH($A76&amp;"|ÖDEMEDE",'İCRA DOSYALARI'!$V$2:$V$300,0)),"-"))</f>
        <v/>
      </c>
      <c r="I76" s="9">
        <f>IF($A76="","",SUMIF('İCRA DOSYALARI'!$A$2:$A$300,$A76,'İCRA DOSYALARI'!$N$2:$N$300))</f>
        <v/>
      </c>
    </row>
    <row r="77">
      <c r="A77" s="7" t="n"/>
      <c r="B77" s="9">
        <f>IF($A77="","",IFERROR(VLOOKUP($A77,PERSONEL!$A$2:$C$300,3,0),""))</f>
        <v/>
      </c>
      <c r="C77" s="7">
        <f>IF($A77="","",COUNTIF('İCRA DOSYALARI'!$A$2:$A$300,$A77))</f>
        <v/>
      </c>
      <c r="D77" s="9">
        <f>IF($A77="","",SUMIF('İCRA DOSYALARI'!$A$2:$A$300,$A77,'İCRA DOSYALARI'!$I$2:$I$300))</f>
        <v/>
      </c>
      <c r="E77" s="9">
        <f>IF($A77="","",SUMIF('İCRA DOSYALARI'!$A$2:$A$300,$A77,'İCRA DOSYALARI'!$Q$2:$Q$300))</f>
        <v/>
      </c>
      <c r="F77" s="9">
        <f>IF($A77="","",SUMIF('İCRA DOSYALARI'!$A$2:$A$300,$A77,'İCRA DOSYALARI'!$R$2:$R$300))</f>
        <v/>
      </c>
      <c r="G77" s="7">
        <f>IF($A77="","",IFERROR(INDEX('İCRA DOSYALARI'!$E$2:$E$300,MATCH($A77&amp;"|ÖDEMEDE",'İCRA DOSYALARI'!$V$2:$V$300,0)),"-"))</f>
        <v/>
      </c>
      <c r="H77" s="9">
        <f>IF($A77="","",IFERROR(INDEX('İCRA DOSYALARI'!$R$2:$R$300,MATCH($A77&amp;"|ÖDEMEDE",'İCRA DOSYALARI'!$V$2:$V$300,0)),"-"))</f>
        <v/>
      </c>
      <c r="I77" s="9">
        <f>IF($A77="","",SUMIF('İCRA DOSYALARI'!$A$2:$A$300,$A77,'İCRA DOSYALARI'!$N$2:$N$300))</f>
        <v/>
      </c>
    </row>
    <row r="78">
      <c r="A78" s="7" t="n"/>
      <c r="B78" s="9">
        <f>IF($A78="","",IFERROR(VLOOKUP($A78,PERSONEL!$A$2:$C$300,3,0),""))</f>
        <v/>
      </c>
      <c r="C78" s="7">
        <f>IF($A78="","",COUNTIF('İCRA DOSYALARI'!$A$2:$A$300,$A78))</f>
        <v/>
      </c>
      <c r="D78" s="9">
        <f>IF($A78="","",SUMIF('İCRA DOSYALARI'!$A$2:$A$300,$A78,'İCRA DOSYALARI'!$I$2:$I$300))</f>
        <v/>
      </c>
      <c r="E78" s="9">
        <f>IF($A78="","",SUMIF('İCRA DOSYALARI'!$A$2:$A$300,$A78,'İCRA DOSYALARI'!$Q$2:$Q$300))</f>
        <v/>
      </c>
      <c r="F78" s="9">
        <f>IF($A78="","",SUMIF('İCRA DOSYALARI'!$A$2:$A$300,$A78,'İCRA DOSYALARI'!$R$2:$R$300))</f>
        <v/>
      </c>
      <c r="G78" s="7">
        <f>IF($A78="","",IFERROR(INDEX('İCRA DOSYALARI'!$E$2:$E$300,MATCH($A78&amp;"|ÖDEMEDE",'İCRA DOSYALARI'!$V$2:$V$300,0)),"-"))</f>
        <v/>
      </c>
      <c r="H78" s="9">
        <f>IF($A78="","",IFERROR(INDEX('İCRA DOSYALARI'!$R$2:$R$300,MATCH($A78&amp;"|ÖDEMEDE",'İCRA DOSYALARI'!$V$2:$V$300,0)),"-"))</f>
        <v/>
      </c>
      <c r="I78" s="9">
        <f>IF($A78="","",SUMIF('İCRA DOSYALARI'!$A$2:$A$300,$A78,'İCRA DOSYALARI'!$N$2:$N$300))</f>
        <v/>
      </c>
    </row>
    <row r="79">
      <c r="A79" s="7" t="n"/>
      <c r="B79" s="9">
        <f>IF($A79="","",IFERROR(VLOOKUP($A79,PERSONEL!$A$2:$C$300,3,0),""))</f>
        <v/>
      </c>
      <c r="C79" s="7">
        <f>IF($A79="","",COUNTIF('İCRA DOSYALARI'!$A$2:$A$300,$A79))</f>
        <v/>
      </c>
      <c r="D79" s="9">
        <f>IF($A79="","",SUMIF('İCRA DOSYALARI'!$A$2:$A$300,$A79,'İCRA DOSYALARI'!$I$2:$I$300))</f>
        <v/>
      </c>
      <c r="E79" s="9">
        <f>IF($A79="","",SUMIF('İCRA DOSYALARI'!$A$2:$A$300,$A79,'İCRA DOSYALARI'!$Q$2:$Q$300))</f>
        <v/>
      </c>
      <c r="F79" s="9">
        <f>IF($A79="","",SUMIF('İCRA DOSYALARI'!$A$2:$A$300,$A79,'İCRA DOSYALARI'!$R$2:$R$300))</f>
        <v/>
      </c>
      <c r="G79" s="7">
        <f>IF($A79="","",IFERROR(INDEX('İCRA DOSYALARI'!$E$2:$E$300,MATCH($A79&amp;"|ÖDEMEDE",'İCRA DOSYALARI'!$V$2:$V$300,0)),"-"))</f>
        <v/>
      </c>
      <c r="H79" s="9">
        <f>IF($A79="","",IFERROR(INDEX('İCRA DOSYALARI'!$R$2:$R$300,MATCH($A79&amp;"|ÖDEMEDE",'İCRA DOSYALARI'!$V$2:$V$300,0)),"-"))</f>
        <v/>
      </c>
      <c r="I79" s="9">
        <f>IF($A79="","",SUMIF('İCRA DOSYALARI'!$A$2:$A$300,$A79,'İCRA DOSYALARI'!$N$2:$N$300))</f>
        <v/>
      </c>
    </row>
    <row r="80">
      <c r="A80" s="7" t="n"/>
      <c r="B80" s="9">
        <f>IF($A80="","",IFERROR(VLOOKUP($A80,PERSONEL!$A$2:$C$300,3,0),""))</f>
        <v/>
      </c>
      <c r="C80" s="7">
        <f>IF($A80="","",COUNTIF('İCRA DOSYALARI'!$A$2:$A$300,$A80))</f>
        <v/>
      </c>
      <c r="D80" s="9">
        <f>IF($A80="","",SUMIF('İCRA DOSYALARI'!$A$2:$A$300,$A80,'İCRA DOSYALARI'!$I$2:$I$300))</f>
        <v/>
      </c>
      <c r="E80" s="9">
        <f>IF($A80="","",SUMIF('İCRA DOSYALARI'!$A$2:$A$300,$A80,'İCRA DOSYALARI'!$Q$2:$Q$300))</f>
        <v/>
      </c>
      <c r="F80" s="9">
        <f>IF($A80="","",SUMIF('İCRA DOSYALARI'!$A$2:$A$300,$A80,'İCRA DOSYALARI'!$R$2:$R$300))</f>
        <v/>
      </c>
      <c r="G80" s="7">
        <f>IF($A80="","",IFERROR(INDEX('İCRA DOSYALARI'!$E$2:$E$300,MATCH($A80&amp;"|ÖDEMEDE",'İCRA DOSYALARI'!$V$2:$V$300,0)),"-"))</f>
        <v/>
      </c>
      <c r="H80" s="9">
        <f>IF($A80="","",IFERROR(INDEX('İCRA DOSYALARI'!$R$2:$R$300,MATCH($A80&amp;"|ÖDEMEDE",'İCRA DOSYALARI'!$V$2:$V$300,0)),"-"))</f>
        <v/>
      </c>
      <c r="I80" s="9">
        <f>IF($A80="","",SUMIF('İCRA DOSYALARI'!$A$2:$A$300,$A80,'İCRA DOSYALARI'!$N$2:$N$300))</f>
        <v/>
      </c>
    </row>
    <row r="81">
      <c r="A81" s="7" t="n"/>
      <c r="B81" s="9">
        <f>IF($A81="","",IFERROR(VLOOKUP($A81,PERSONEL!$A$2:$C$300,3,0),""))</f>
        <v/>
      </c>
      <c r="C81" s="7">
        <f>IF($A81="","",COUNTIF('İCRA DOSYALARI'!$A$2:$A$300,$A81))</f>
        <v/>
      </c>
      <c r="D81" s="9">
        <f>IF($A81="","",SUMIF('İCRA DOSYALARI'!$A$2:$A$300,$A81,'İCRA DOSYALARI'!$I$2:$I$300))</f>
        <v/>
      </c>
      <c r="E81" s="9">
        <f>IF($A81="","",SUMIF('İCRA DOSYALARI'!$A$2:$A$300,$A81,'İCRA DOSYALARI'!$Q$2:$Q$300))</f>
        <v/>
      </c>
      <c r="F81" s="9">
        <f>IF($A81="","",SUMIF('İCRA DOSYALARI'!$A$2:$A$300,$A81,'İCRA DOSYALARI'!$R$2:$R$300))</f>
        <v/>
      </c>
      <c r="G81" s="7">
        <f>IF($A81="","",IFERROR(INDEX('İCRA DOSYALARI'!$E$2:$E$300,MATCH($A81&amp;"|ÖDEMEDE",'İCRA DOSYALARI'!$V$2:$V$300,0)),"-"))</f>
        <v/>
      </c>
      <c r="H81" s="9">
        <f>IF($A81="","",IFERROR(INDEX('İCRA DOSYALARI'!$R$2:$R$300,MATCH($A81&amp;"|ÖDEMEDE",'İCRA DOSYALARI'!$V$2:$V$300,0)),"-"))</f>
        <v/>
      </c>
      <c r="I81" s="9">
        <f>IF($A81="","",SUMIF('İCRA DOSYALARI'!$A$2:$A$300,$A81,'İCRA DOSYALARI'!$N$2:$N$300))</f>
        <v/>
      </c>
    </row>
    <row r="82">
      <c r="A82" s="7" t="n"/>
      <c r="B82" s="9">
        <f>IF($A82="","",IFERROR(VLOOKUP($A82,PERSONEL!$A$2:$C$300,3,0),""))</f>
        <v/>
      </c>
      <c r="C82" s="7">
        <f>IF($A82="","",COUNTIF('İCRA DOSYALARI'!$A$2:$A$300,$A82))</f>
        <v/>
      </c>
      <c r="D82" s="9">
        <f>IF($A82="","",SUMIF('İCRA DOSYALARI'!$A$2:$A$300,$A82,'İCRA DOSYALARI'!$I$2:$I$300))</f>
        <v/>
      </c>
      <c r="E82" s="9">
        <f>IF($A82="","",SUMIF('İCRA DOSYALARI'!$A$2:$A$300,$A82,'İCRA DOSYALARI'!$Q$2:$Q$300))</f>
        <v/>
      </c>
      <c r="F82" s="9">
        <f>IF($A82="","",SUMIF('İCRA DOSYALARI'!$A$2:$A$300,$A82,'İCRA DOSYALARI'!$R$2:$R$300))</f>
        <v/>
      </c>
      <c r="G82" s="7">
        <f>IF($A82="","",IFERROR(INDEX('İCRA DOSYALARI'!$E$2:$E$300,MATCH($A82&amp;"|ÖDEMEDE",'İCRA DOSYALARI'!$V$2:$V$300,0)),"-"))</f>
        <v/>
      </c>
      <c r="H82" s="9">
        <f>IF($A82="","",IFERROR(INDEX('İCRA DOSYALARI'!$R$2:$R$300,MATCH($A82&amp;"|ÖDEMEDE",'İCRA DOSYALARI'!$V$2:$V$300,0)),"-"))</f>
        <v/>
      </c>
      <c r="I82" s="9">
        <f>IF($A82="","",SUMIF('İCRA DOSYALARI'!$A$2:$A$300,$A82,'İCRA DOSYALARI'!$N$2:$N$300))</f>
        <v/>
      </c>
    </row>
    <row r="83">
      <c r="A83" s="7" t="n"/>
      <c r="B83" s="9">
        <f>IF($A83="","",IFERROR(VLOOKUP($A83,PERSONEL!$A$2:$C$300,3,0),""))</f>
        <v/>
      </c>
      <c r="C83" s="7">
        <f>IF($A83="","",COUNTIF('İCRA DOSYALARI'!$A$2:$A$300,$A83))</f>
        <v/>
      </c>
      <c r="D83" s="9">
        <f>IF($A83="","",SUMIF('İCRA DOSYALARI'!$A$2:$A$300,$A83,'İCRA DOSYALARI'!$I$2:$I$300))</f>
        <v/>
      </c>
      <c r="E83" s="9">
        <f>IF($A83="","",SUMIF('İCRA DOSYALARI'!$A$2:$A$300,$A83,'İCRA DOSYALARI'!$Q$2:$Q$300))</f>
        <v/>
      </c>
      <c r="F83" s="9">
        <f>IF($A83="","",SUMIF('İCRA DOSYALARI'!$A$2:$A$300,$A83,'İCRA DOSYALARI'!$R$2:$R$300))</f>
        <v/>
      </c>
      <c r="G83" s="7">
        <f>IF($A83="","",IFERROR(INDEX('İCRA DOSYALARI'!$E$2:$E$300,MATCH($A83&amp;"|ÖDEMEDE",'İCRA DOSYALARI'!$V$2:$V$300,0)),"-"))</f>
        <v/>
      </c>
      <c r="H83" s="9">
        <f>IF($A83="","",IFERROR(INDEX('İCRA DOSYALARI'!$R$2:$R$300,MATCH($A83&amp;"|ÖDEMEDE",'İCRA DOSYALARI'!$V$2:$V$300,0)),"-"))</f>
        <v/>
      </c>
      <c r="I83" s="9">
        <f>IF($A83="","",SUMIF('İCRA DOSYALARI'!$A$2:$A$300,$A83,'İCRA DOSYALARI'!$N$2:$N$300))</f>
        <v/>
      </c>
    </row>
    <row r="84">
      <c r="A84" s="7" t="n"/>
      <c r="B84" s="9">
        <f>IF($A84="","",IFERROR(VLOOKUP($A84,PERSONEL!$A$2:$C$300,3,0),""))</f>
        <v/>
      </c>
      <c r="C84" s="7">
        <f>IF($A84="","",COUNTIF('İCRA DOSYALARI'!$A$2:$A$300,$A84))</f>
        <v/>
      </c>
      <c r="D84" s="9">
        <f>IF($A84="","",SUMIF('İCRA DOSYALARI'!$A$2:$A$300,$A84,'İCRA DOSYALARI'!$I$2:$I$300))</f>
        <v/>
      </c>
      <c r="E84" s="9">
        <f>IF($A84="","",SUMIF('İCRA DOSYALARI'!$A$2:$A$300,$A84,'İCRA DOSYALARI'!$Q$2:$Q$300))</f>
        <v/>
      </c>
      <c r="F84" s="9">
        <f>IF($A84="","",SUMIF('İCRA DOSYALARI'!$A$2:$A$300,$A84,'İCRA DOSYALARI'!$R$2:$R$300))</f>
        <v/>
      </c>
      <c r="G84" s="7">
        <f>IF($A84="","",IFERROR(INDEX('İCRA DOSYALARI'!$E$2:$E$300,MATCH($A84&amp;"|ÖDEMEDE",'İCRA DOSYALARI'!$V$2:$V$300,0)),"-"))</f>
        <v/>
      </c>
      <c r="H84" s="9">
        <f>IF($A84="","",IFERROR(INDEX('İCRA DOSYALARI'!$R$2:$R$300,MATCH($A84&amp;"|ÖDEMEDE",'İCRA DOSYALARI'!$V$2:$V$300,0)),"-"))</f>
        <v/>
      </c>
      <c r="I84" s="9">
        <f>IF($A84="","",SUMIF('İCRA DOSYALARI'!$A$2:$A$300,$A84,'İCRA DOSYALARI'!$N$2:$N$300))</f>
        <v/>
      </c>
    </row>
    <row r="85">
      <c r="A85" s="7" t="n"/>
      <c r="B85" s="9">
        <f>IF($A85="","",IFERROR(VLOOKUP($A85,PERSONEL!$A$2:$C$300,3,0),""))</f>
        <v/>
      </c>
      <c r="C85" s="7">
        <f>IF($A85="","",COUNTIF('İCRA DOSYALARI'!$A$2:$A$300,$A85))</f>
        <v/>
      </c>
      <c r="D85" s="9">
        <f>IF($A85="","",SUMIF('İCRA DOSYALARI'!$A$2:$A$300,$A85,'İCRA DOSYALARI'!$I$2:$I$300))</f>
        <v/>
      </c>
      <c r="E85" s="9">
        <f>IF($A85="","",SUMIF('İCRA DOSYALARI'!$A$2:$A$300,$A85,'İCRA DOSYALARI'!$Q$2:$Q$300))</f>
        <v/>
      </c>
      <c r="F85" s="9">
        <f>IF($A85="","",SUMIF('İCRA DOSYALARI'!$A$2:$A$300,$A85,'İCRA DOSYALARI'!$R$2:$R$300))</f>
        <v/>
      </c>
      <c r="G85" s="7">
        <f>IF($A85="","",IFERROR(INDEX('İCRA DOSYALARI'!$E$2:$E$300,MATCH($A85&amp;"|ÖDEMEDE",'İCRA DOSYALARI'!$V$2:$V$300,0)),"-"))</f>
        <v/>
      </c>
      <c r="H85" s="9">
        <f>IF($A85="","",IFERROR(INDEX('İCRA DOSYALARI'!$R$2:$R$300,MATCH($A85&amp;"|ÖDEMEDE",'İCRA DOSYALARI'!$V$2:$V$300,0)),"-"))</f>
        <v/>
      </c>
      <c r="I85" s="9">
        <f>IF($A85="","",SUMIF('İCRA DOSYALARI'!$A$2:$A$300,$A85,'İCRA DOSYALARI'!$N$2:$N$300))</f>
        <v/>
      </c>
    </row>
    <row r="86">
      <c r="A86" s="7" t="n"/>
      <c r="B86" s="9">
        <f>IF($A86="","",IFERROR(VLOOKUP($A86,PERSONEL!$A$2:$C$300,3,0),""))</f>
        <v/>
      </c>
      <c r="C86" s="7">
        <f>IF($A86="","",COUNTIF('İCRA DOSYALARI'!$A$2:$A$300,$A86))</f>
        <v/>
      </c>
      <c r="D86" s="9">
        <f>IF($A86="","",SUMIF('İCRA DOSYALARI'!$A$2:$A$300,$A86,'İCRA DOSYALARI'!$I$2:$I$300))</f>
        <v/>
      </c>
      <c r="E86" s="9">
        <f>IF($A86="","",SUMIF('İCRA DOSYALARI'!$A$2:$A$300,$A86,'İCRA DOSYALARI'!$Q$2:$Q$300))</f>
        <v/>
      </c>
      <c r="F86" s="9">
        <f>IF($A86="","",SUMIF('İCRA DOSYALARI'!$A$2:$A$300,$A86,'İCRA DOSYALARI'!$R$2:$R$300))</f>
        <v/>
      </c>
      <c r="G86" s="7">
        <f>IF($A86="","",IFERROR(INDEX('İCRA DOSYALARI'!$E$2:$E$300,MATCH($A86&amp;"|ÖDEMEDE",'İCRA DOSYALARI'!$V$2:$V$300,0)),"-"))</f>
        <v/>
      </c>
      <c r="H86" s="9">
        <f>IF($A86="","",IFERROR(INDEX('İCRA DOSYALARI'!$R$2:$R$300,MATCH($A86&amp;"|ÖDEMEDE",'İCRA DOSYALARI'!$V$2:$V$300,0)),"-"))</f>
        <v/>
      </c>
      <c r="I86" s="9">
        <f>IF($A86="","",SUMIF('İCRA DOSYALARI'!$A$2:$A$300,$A86,'İCRA DOSYALARI'!$N$2:$N$300))</f>
        <v/>
      </c>
    </row>
    <row r="87">
      <c r="A87" s="7" t="n"/>
      <c r="B87" s="9">
        <f>IF($A87="","",IFERROR(VLOOKUP($A87,PERSONEL!$A$2:$C$300,3,0),""))</f>
        <v/>
      </c>
      <c r="C87" s="7">
        <f>IF($A87="","",COUNTIF('İCRA DOSYALARI'!$A$2:$A$300,$A87))</f>
        <v/>
      </c>
      <c r="D87" s="9">
        <f>IF($A87="","",SUMIF('İCRA DOSYALARI'!$A$2:$A$300,$A87,'İCRA DOSYALARI'!$I$2:$I$300))</f>
        <v/>
      </c>
      <c r="E87" s="9">
        <f>IF($A87="","",SUMIF('İCRA DOSYALARI'!$A$2:$A$300,$A87,'İCRA DOSYALARI'!$Q$2:$Q$300))</f>
        <v/>
      </c>
      <c r="F87" s="9">
        <f>IF($A87="","",SUMIF('İCRA DOSYALARI'!$A$2:$A$300,$A87,'İCRA DOSYALARI'!$R$2:$R$300))</f>
        <v/>
      </c>
      <c r="G87" s="7">
        <f>IF($A87="","",IFERROR(INDEX('İCRA DOSYALARI'!$E$2:$E$300,MATCH($A87&amp;"|ÖDEMEDE",'İCRA DOSYALARI'!$V$2:$V$300,0)),"-"))</f>
        <v/>
      </c>
      <c r="H87" s="9">
        <f>IF($A87="","",IFERROR(INDEX('İCRA DOSYALARI'!$R$2:$R$300,MATCH($A87&amp;"|ÖDEMEDE",'İCRA DOSYALARI'!$V$2:$V$300,0)),"-"))</f>
        <v/>
      </c>
      <c r="I87" s="9">
        <f>IF($A87="","",SUMIF('İCRA DOSYALARI'!$A$2:$A$300,$A87,'İCRA DOSYALARI'!$N$2:$N$300))</f>
        <v/>
      </c>
    </row>
    <row r="88">
      <c r="A88" s="7" t="n"/>
      <c r="B88" s="9">
        <f>IF($A88="","",IFERROR(VLOOKUP($A88,PERSONEL!$A$2:$C$300,3,0),""))</f>
        <v/>
      </c>
      <c r="C88" s="7">
        <f>IF($A88="","",COUNTIF('İCRA DOSYALARI'!$A$2:$A$300,$A88))</f>
        <v/>
      </c>
      <c r="D88" s="9">
        <f>IF($A88="","",SUMIF('İCRA DOSYALARI'!$A$2:$A$300,$A88,'İCRA DOSYALARI'!$I$2:$I$300))</f>
        <v/>
      </c>
      <c r="E88" s="9">
        <f>IF($A88="","",SUMIF('İCRA DOSYALARI'!$A$2:$A$300,$A88,'İCRA DOSYALARI'!$Q$2:$Q$300))</f>
        <v/>
      </c>
      <c r="F88" s="9">
        <f>IF($A88="","",SUMIF('İCRA DOSYALARI'!$A$2:$A$300,$A88,'İCRA DOSYALARI'!$R$2:$R$300))</f>
        <v/>
      </c>
      <c r="G88" s="7">
        <f>IF($A88="","",IFERROR(INDEX('İCRA DOSYALARI'!$E$2:$E$300,MATCH($A88&amp;"|ÖDEMEDE",'İCRA DOSYALARI'!$V$2:$V$300,0)),"-"))</f>
        <v/>
      </c>
      <c r="H88" s="9">
        <f>IF($A88="","",IFERROR(INDEX('İCRA DOSYALARI'!$R$2:$R$300,MATCH($A88&amp;"|ÖDEMEDE",'İCRA DOSYALARI'!$V$2:$V$300,0)),"-"))</f>
        <v/>
      </c>
      <c r="I88" s="9">
        <f>IF($A88="","",SUMIF('İCRA DOSYALARI'!$A$2:$A$300,$A88,'İCRA DOSYALARI'!$N$2:$N$300))</f>
        <v/>
      </c>
    </row>
    <row r="89">
      <c r="A89" s="7" t="n"/>
      <c r="B89" s="9">
        <f>IF($A89="","",IFERROR(VLOOKUP($A89,PERSONEL!$A$2:$C$300,3,0),""))</f>
        <v/>
      </c>
      <c r="C89" s="7">
        <f>IF($A89="","",COUNTIF('İCRA DOSYALARI'!$A$2:$A$300,$A89))</f>
        <v/>
      </c>
      <c r="D89" s="9">
        <f>IF($A89="","",SUMIF('İCRA DOSYALARI'!$A$2:$A$300,$A89,'İCRA DOSYALARI'!$I$2:$I$300))</f>
        <v/>
      </c>
      <c r="E89" s="9">
        <f>IF($A89="","",SUMIF('İCRA DOSYALARI'!$A$2:$A$300,$A89,'İCRA DOSYALARI'!$Q$2:$Q$300))</f>
        <v/>
      </c>
      <c r="F89" s="9">
        <f>IF($A89="","",SUMIF('İCRA DOSYALARI'!$A$2:$A$300,$A89,'İCRA DOSYALARI'!$R$2:$R$300))</f>
        <v/>
      </c>
      <c r="G89" s="7">
        <f>IF($A89="","",IFERROR(INDEX('İCRA DOSYALARI'!$E$2:$E$300,MATCH($A89&amp;"|ÖDEMEDE",'İCRA DOSYALARI'!$V$2:$V$300,0)),"-"))</f>
        <v/>
      </c>
      <c r="H89" s="9">
        <f>IF($A89="","",IFERROR(INDEX('İCRA DOSYALARI'!$R$2:$R$300,MATCH($A89&amp;"|ÖDEMEDE",'İCRA DOSYALARI'!$V$2:$V$300,0)),"-"))</f>
        <v/>
      </c>
      <c r="I89" s="9">
        <f>IF($A89="","",SUMIF('İCRA DOSYALARI'!$A$2:$A$300,$A89,'İCRA DOSYALARI'!$N$2:$N$300))</f>
        <v/>
      </c>
    </row>
    <row r="90">
      <c r="A90" s="7" t="n"/>
      <c r="B90" s="9">
        <f>IF($A90="","",IFERROR(VLOOKUP($A90,PERSONEL!$A$2:$C$300,3,0),""))</f>
        <v/>
      </c>
      <c r="C90" s="7">
        <f>IF($A90="","",COUNTIF('İCRA DOSYALARI'!$A$2:$A$300,$A90))</f>
        <v/>
      </c>
      <c r="D90" s="9">
        <f>IF($A90="","",SUMIF('İCRA DOSYALARI'!$A$2:$A$300,$A90,'İCRA DOSYALARI'!$I$2:$I$300))</f>
        <v/>
      </c>
      <c r="E90" s="9">
        <f>IF($A90="","",SUMIF('İCRA DOSYALARI'!$A$2:$A$300,$A90,'İCRA DOSYALARI'!$Q$2:$Q$300))</f>
        <v/>
      </c>
      <c r="F90" s="9">
        <f>IF($A90="","",SUMIF('İCRA DOSYALARI'!$A$2:$A$300,$A90,'İCRA DOSYALARI'!$R$2:$R$300))</f>
        <v/>
      </c>
      <c r="G90" s="7">
        <f>IF($A90="","",IFERROR(INDEX('İCRA DOSYALARI'!$E$2:$E$300,MATCH($A90&amp;"|ÖDEMEDE",'İCRA DOSYALARI'!$V$2:$V$300,0)),"-"))</f>
        <v/>
      </c>
      <c r="H90" s="9">
        <f>IF($A90="","",IFERROR(INDEX('İCRA DOSYALARI'!$R$2:$R$300,MATCH($A90&amp;"|ÖDEMEDE",'İCRA DOSYALARI'!$V$2:$V$300,0)),"-"))</f>
        <v/>
      </c>
      <c r="I90" s="9">
        <f>IF($A90="","",SUMIF('İCRA DOSYALARI'!$A$2:$A$300,$A90,'İCRA DOSYALARI'!$N$2:$N$300))</f>
        <v/>
      </c>
    </row>
    <row r="91">
      <c r="A91" s="7" t="n"/>
      <c r="B91" s="9">
        <f>IF($A91="","",IFERROR(VLOOKUP($A91,PERSONEL!$A$2:$C$300,3,0),""))</f>
        <v/>
      </c>
      <c r="C91" s="7">
        <f>IF($A91="","",COUNTIF('İCRA DOSYALARI'!$A$2:$A$300,$A91))</f>
        <v/>
      </c>
      <c r="D91" s="9">
        <f>IF($A91="","",SUMIF('İCRA DOSYALARI'!$A$2:$A$300,$A91,'İCRA DOSYALARI'!$I$2:$I$300))</f>
        <v/>
      </c>
      <c r="E91" s="9">
        <f>IF($A91="","",SUMIF('İCRA DOSYALARI'!$A$2:$A$300,$A91,'İCRA DOSYALARI'!$Q$2:$Q$300))</f>
        <v/>
      </c>
      <c r="F91" s="9">
        <f>IF($A91="","",SUMIF('İCRA DOSYALARI'!$A$2:$A$300,$A91,'İCRA DOSYALARI'!$R$2:$R$300))</f>
        <v/>
      </c>
      <c r="G91" s="7">
        <f>IF($A91="","",IFERROR(INDEX('İCRA DOSYALARI'!$E$2:$E$300,MATCH($A91&amp;"|ÖDEMEDE",'İCRA DOSYALARI'!$V$2:$V$300,0)),"-"))</f>
        <v/>
      </c>
      <c r="H91" s="9">
        <f>IF($A91="","",IFERROR(INDEX('İCRA DOSYALARI'!$R$2:$R$300,MATCH($A91&amp;"|ÖDEMEDE",'İCRA DOSYALARI'!$V$2:$V$300,0)),"-"))</f>
        <v/>
      </c>
      <c r="I91" s="9">
        <f>IF($A91="","",SUMIF('İCRA DOSYALARI'!$A$2:$A$300,$A91,'İCRA DOSYALARI'!$N$2:$N$300))</f>
        <v/>
      </c>
    </row>
    <row r="92">
      <c r="A92" s="7" t="n"/>
      <c r="B92" s="9">
        <f>IF($A92="","",IFERROR(VLOOKUP($A92,PERSONEL!$A$2:$C$300,3,0),""))</f>
        <v/>
      </c>
      <c r="C92" s="7">
        <f>IF($A92="","",COUNTIF('İCRA DOSYALARI'!$A$2:$A$300,$A92))</f>
        <v/>
      </c>
      <c r="D92" s="9">
        <f>IF($A92="","",SUMIF('İCRA DOSYALARI'!$A$2:$A$300,$A92,'İCRA DOSYALARI'!$I$2:$I$300))</f>
        <v/>
      </c>
      <c r="E92" s="9">
        <f>IF($A92="","",SUMIF('İCRA DOSYALARI'!$A$2:$A$300,$A92,'İCRA DOSYALARI'!$Q$2:$Q$300))</f>
        <v/>
      </c>
      <c r="F92" s="9">
        <f>IF($A92="","",SUMIF('İCRA DOSYALARI'!$A$2:$A$300,$A92,'İCRA DOSYALARI'!$R$2:$R$300))</f>
        <v/>
      </c>
      <c r="G92" s="7">
        <f>IF($A92="","",IFERROR(INDEX('İCRA DOSYALARI'!$E$2:$E$300,MATCH($A92&amp;"|ÖDEMEDE",'İCRA DOSYALARI'!$V$2:$V$300,0)),"-"))</f>
        <v/>
      </c>
      <c r="H92" s="9">
        <f>IF($A92="","",IFERROR(INDEX('İCRA DOSYALARI'!$R$2:$R$300,MATCH($A92&amp;"|ÖDEMEDE",'İCRA DOSYALARI'!$V$2:$V$300,0)),"-"))</f>
        <v/>
      </c>
      <c r="I92" s="9">
        <f>IF($A92="","",SUMIF('İCRA DOSYALARI'!$A$2:$A$300,$A92,'İCRA DOSYALARI'!$N$2:$N$300))</f>
        <v/>
      </c>
    </row>
    <row r="93">
      <c r="A93" s="7" t="n"/>
      <c r="B93" s="9">
        <f>IF($A93="","",IFERROR(VLOOKUP($A93,PERSONEL!$A$2:$C$300,3,0),""))</f>
        <v/>
      </c>
      <c r="C93" s="7">
        <f>IF($A93="","",COUNTIF('İCRA DOSYALARI'!$A$2:$A$300,$A93))</f>
        <v/>
      </c>
      <c r="D93" s="9">
        <f>IF($A93="","",SUMIF('İCRA DOSYALARI'!$A$2:$A$300,$A93,'İCRA DOSYALARI'!$I$2:$I$300))</f>
        <v/>
      </c>
      <c r="E93" s="9">
        <f>IF($A93="","",SUMIF('İCRA DOSYALARI'!$A$2:$A$300,$A93,'İCRA DOSYALARI'!$Q$2:$Q$300))</f>
        <v/>
      </c>
      <c r="F93" s="9">
        <f>IF($A93="","",SUMIF('İCRA DOSYALARI'!$A$2:$A$300,$A93,'İCRA DOSYALARI'!$R$2:$R$300))</f>
        <v/>
      </c>
      <c r="G93" s="7">
        <f>IF($A93="","",IFERROR(INDEX('İCRA DOSYALARI'!$E$2:$E$300,MATCH($A93&amp;"|ÖDEMEDE",'İCRA DOSYALARI'!$V$2:$V$300,0)),"-"))</f>
        <v/>
      </c>
      <c r="H93" s="9">
        <f>IF($A93="","",IFERROR(INDEX('İCRA DOSYALARI'!$R$2:$R$300,MATCH($A93&amp;"|ÖDEMEDE",'İCRA DOSYALARI'!$V$2:$V$300,0)),"-"))</f>
        <v/>
      </c>
      <c r="I93" s="9">
        <f>IF($A93="","",SUMIF('İCRA DOSYALARI'!$A$2:$A$300,$A93,'İCRA DOSYALARI'!$N$2:$N$300))</f>
        <v/>
      </c>
    </row>
    <row r="94">
      <c r="A94" s="7" t="n"/>
      <c r="B94" s="9">
        <f>IF($A94="","",IFERROR(VLOOKUP($A94,PERSONEL!$A$2:$C$300,3,0),""))</f>
        <v/>
      </c>
      <c r="C94" s="7">
        <f>IF($A94="","",COUNTIF('İCRA DOSYALARI'!$A$2:$A$300,$A94))</f>
        <v/>
      </c>
      <c r="D94" s="9">
        <f>IF($A94="","",SUMIF('İCRA DOSYALARI'!$A$2:$A$300,$A94,'İCRA DOSYALARI'!$I$2:$I$300))</f>
        <v/>
      </c>
      <c r="E94" s="9">
        <f>IF($A94="","",SUMIF('İCRA DOSYALARI'!$A$2:$A$300,$A94,'İCRA DOSYALARI'!$Q$2:$Q$300))</f>
        <v/>
      </c>
      <c r="F94" s="9">
        <f>IF($A94="","",SUMIF('İCRA DOSYALARI'!$A$2:$A$300,$A94,'İCRA DOSYALARI'!$R$2:$R$300))</f>
        <v/>
      </c>
      <c r="G94" s="7">
        <f>IF($A94="","",IFERROR(INDEX('İCRA DOSYALARI'!$E$2:$E$300,MATCH($A94&amp;"|ÖDEMEDE",'İCRA DOSYALARI'!$V$2:$V$300,0)),"-"))</f>
        <v/>
      </c>
      <c r="H94" s="9">
        <f>IF($A94="","",IFERROR(INDEX('İCRA DOSYALARI'!$R$2:$R$300,MATCH($A94&amp;"|ÖDEMEDE",'İCRA DOSYALARI'!$V$2:$V$300,0)),"-"))</f>
        <v/>
      </c>
      <c r="I94" s="9">
        <f>IF($A94="","",SUMIF('İCRA DOSYALARI'!$A$2:$A$300,$A94,'İCRA DOSYALARI'!$N$2:$N$300))</f>
        <v/>
      </c>
    </row>
    <row r="95">
      <c r="A95" s="7" t="n"/>
      <c r="B95" s="9">
        <f>IF($A95="","",IFERROR(VLOOKUP($A95,PERSONEL!$A$2:$C$300,3,0),""))</f>
        <v/>
      </c>
      <c r="C95" s="7">
        <f>IF($A95="","",COUNTIF('İCRA DOSYALARI'!$A$2:$A$300,$A95))</f>
        <v/>
      </c>
      <c r="D95" s="9">
        <f>IF($A95="","",SUMIF('İCRA DOSYALARI'!$A$2:$A$300,$A95,'İCRA DOSYALARI'!$I$2:$I$300))</f>
        <v/>
      </c>
      <c r="E95" s="9">
        <f>IF($A95="","",SUMIF('İCRA DOSYALARI'!$A$2:$A$300,$A95,'İCRA DOSYALARI'!$Q$2:$Q$300))</f>
        <v/>
      </c>
      <c r="F95" s="9">
        <f>IF($A95="","",SUMIF('İCRA DOSYALARI'!$A$2:$A$300,$A95,'İCRA DOSYALARI'!$R$2:$R$300))</f>
        <v/>
      </c>
      <c r="G95" s="7">
        <f>IF($A95="","",IFERROR(INDEX('İCRA DOSYALARI'!$E$2:$E$300,MATCH($A95&amp;"|ÖDEMEDE",'İCRA DOSYALARI'!$V$2:$V$300,0)),"-"))</f>
        <v/>
      </c>
      <c r="H95" s="9">
        <f>IF($A95="","",IFERROR(INDEX('İCRA DOSYALARI'!$R$2:$R$300,MATCH($A95&amp;"|ÖDEMEDE",'İCRA DOSYALARI'!$V$2:$V$300,0)),"-"))</f>
        <v/>
      </c>
      <c r="I95" s="9">
        <f>IF($A95="","",SUMIF('İCRA DOSYALARI'!$A$2:$A$300,$A95,'İCRA DOSYALARI'!$N$2:$N$300))</f>
        <v/>
      </c>
    </row>
    <row r="96">
      <c r="A96" s="7" t="n"/>
      <c r="B96" s="9">
        <f>IF($A96="","",IFERROR(VLOOKUP($A96,PERSONEL!$A$2:$C$300,3,0),""))</f>
        <v/>
      </c>
      <c r="C96" s="7">
        <f>IF($A96="","",COUNTIF('İCRA DOSYALARI'!$A$2:$A$300,$A96))</f>
        <v/>
      </c>
      <c r="D96" s="9">
        <f>IF($A96="","",SUMIF('İCRA DOSYALARI'!$A$2:$A$300,$A96,'İCRA DOSYALARI'!$I$2:$I$300))</f>
        <v/>
      </c>
      <c r="E96" s="9">
        <f>IF($A96="","",SUMIF('İCRA DOSYALARI'!$A$2:$A$300,$A96,'İCRA DOSYALARI'!$Q$2:$Q$300))</f>
        <v/>
      </c>
      <c r="F96" s="9">
        <f>IF($A96="","",SUMIF('İCRA DOSYALARI'!$A$2:$A$300,$A96,'İCRA DOSYALARI'!$R$2:$R$300))</f>
        <v/>
      </c>
      <c r="G96" s="7">
        <f>IF($A96="","",IFERROR(INDEX('İCRA DOSYALARI'!$E$2:$E$300,MATCH($A96&amp;"|ÖDEMEDE",'İCRA DOSYALARI'!$V$2:$V$300,0)),"-"))</f>
        <v/>
      </c>
      <c r="H96" s="9">
        <f>IF($A96="","",IFERROR(INDEX('İCRA DOSYALARI'!$R$2:$R$300,MATCH($A96&amp;"|ÖDEMEDE",'İCRA DOSYALARI'!$V$2:$V$300,0)),"-"))</f>
        <v/>
      </c>
      <c r="I96" s="9">
        <f>IF($A96="","",SUMIF('İCRA DOSYALARI'!$A$2:$A$300,$A96,'İCRA DOSYALARI'!$N$2:$N$300))</f>
        <v/>
      </c>
    </row>
    <row r="97">
      <c r="A97" s="7" t="n"/>
      <c r="B97" s="9">
        <f>IF($A97="","",IFERROR(VLOOKUP($A97,PERSONEL!$A$2:$C$300,3,0),""))</f>
        <v/>
      </c>
      <c r="C97" s="7">
        <f>IF($A97="","",COUNTIF('İCRA DOSYALARI'!$A$2:$A$300,$A97))</f>
        <v/>
      </c>
      <c r="D97" s="9">
        <f>IF($A97="","",SUMIF('İCRA DOSYALARI'!$A$2:$A$300,$A97,'İCRA DOSYALARI'!$I$2:$I$300))</f>
        <v/>
      </c>
      <c r="E97" s="9">
        <f>IF($A97="","",SUMIF('İCRA DOSYALARI'!$A$2:$A$300,$A97,'İCRA DOSYALARI'!$Q$2:$Q$300))</f>
        <v/>
      </c>
      <c r="F97" s="9">
        <f>IF($A97="","",SUMIF('İCRA DOSYALARI'!$A$2:$A$300,$A97,'İCRA DOSYALARI'!$R$2:$R$300))</f>
        <v/>
      </c>
      <c r="G97" s="7">
        <f>IF($A97="","",IFERROR(INDEX('İCRA DOSYALARI'!$E$2:$E$300,MATCH($A97&amp;"|ÖDEMEDE",'İCRA DOSYALARI'!$V$2:$V$300,0)),"-"))</f>
        <v/>
      </c>
      <c r="H97" s="9">
        <f>IF($A97="","",IFERROR(INDEX('İCRA DOSYALARI'!$R$2:$R$300,MATCH($A97&amp;"|ÖDEMEDE",'İCRA DOSYALARI'!$V$2:$V$300,0)),"-"))</f>
        <v/>
      </c>
      <c r="I97" s="9">
        <f>IF($A97="","",SUMIF('İCRA DOSYALARI'!$A$2:$A$300,$A97,'İCRA DOSYALARI'!$N$2:$N$300))</f>
        <v/>
      </c>
    </row>
    <row r="98">
      <c r="A98" s="7" t="n"/>
      <c r="B98" s="9">
        <f>IF($A98="","",IFERROR(VLOOKUP($A98,PERSONEL!$A$2:$C$300,3,0),""))</f>
        <v/>
      </c>
      <c r="C98" s="7">
        <f>IF($A98="","",COUNTIF('İCRA DOSYALARI'!$A$2:$A$300,$A98))</f>
        <v/>
      </c>
      <c r="D98" s="9">
        <f>IF($A98="","",SUMIF('İCRA DOSYALARI'!$A$2:$A$300,$A98,'İCRA DOSYALARI'!$I$2:$I$300))</f>
        <v/>
      </c>
      <c r="E98" s="9">
        <f>IF($A98="","",SUMIF('İCRA DOSYALARI'!$A$2:$A$300,$A98,'İCRA DOSYALARI'!$Q$2:$Q$300))</f>
        <v/>
      </c>
      <c r="F98" s="9">
        <f>IF($A98="","",SUMIF('İCRA DOSYALARI'!$A$2:$A$300,$A98,'İCRA DOSYALARI'!$R$2:$R$300))</f>
        <v/>
      </c>
      <c r="G98" s="7">
        <f>IF($A98="","",IFERROR(INDEX('İCRA DOSYALARI'!$E$2:$E$300,MATCH($A98&amp;"|ÖDEMEDE",'İCRA DOSYALARI'!$V$2:$V$300,0)),"-"))</f>
        <v/>
      </c>
      <c r="H98" s="9">
        <f>IF($A98="","",IFERROR(INDEX('İCRA DOSYALARI'!$R$2:$R$300,MATCH($A98&amp;"|ÖDEMEDE",'İCRA DOSYALARI'!$V$2:$V$300,0)),"-"))</f>
        <v/>
      </c>
      <c r="I98" s="9">
        <f>IF($A98="","",SUMIF('İCRA DOSYALARI'!$A$2:$A$300,$A98,'İCRA DOSYALARI'!$N$2:$N$300))</f>
        <v/>
      </c>
    </row>
    <row r="99">
      <c r="A99" s="7" t="n"/>
      <c r="B99" s="9">
        <f>IF($A99="","",IFERROR(VLOOKUP($A99,PERSONEL!$A$2:$C$300,3,0),""))</f>
        <v/>
      </c>
      <c r="C99" s="7">
        <f>IF($A99="","",COUNTIF('İCRA DOSYALARI'!$A$2:$A$300,$A99))</f>
        <v/>
      </c>
      <c r="D99" s="9">
        <f>IF($A99="","",SUMIF('İCRA DOSYALARI'!$A$2:$A$300,$A99,'İCRA DOSYALARI'!$I$2:$I$300))</f>
        <v/>
      </c>
      <c r="E99" s="9">
        <f>IF($A99="","",SUMIF('İCRA DOSYALARI'!$A$2:$A$300,$A99,'İCRA DOSYALARI'!$Q$2:$Q$300))</f>
        <v/>
      </c>
      <c r="F99" s="9">
        <f>IF($A99="","",SUMIF('İCRA DOSYALARI'!$A$2:$A$300,$A99,'İCRA DOSYALARI'!$R$2:$R$300))</f>
        <v/>
      </c>
      <c r="G99" s="7">
        <f>IF($A99="","",IFERROR(INDEX('İCRA DOSYALARI'!$E$2:$E$300,MATCH($A99&amp;"|ÖDEMEDE",'İCRA DOSYALARI'!$V$2:$V$300,0)),"-"))</f>
        <v/>
      </c>
      <c r="H99" s="9">
        <f>IF($A99="","",IFERROR(INDEX('İCRA DOSYALARI'!$R$2:$R$300,MATCH($A99&amp;"|ÖDEMEDE",'İCRA DOSYALARI'!$V$2:$V$300,0)),"-"))</f>
        <v/>
      </c>
      <c r="I99" s="9">
        <f>IF($A99="","",SUMIF('İCRA DOSYALARI'!$A$2:$A$300,$A99,'İCRA DOSYALARI'!$N$2:$N$300))</f>
        <v/>
      </c>
    </row>
    <row r="100">
      <c r="A100" s="7" t="n"/>
      <c r="B100" s="9">
        <f>IF($A100="","",IFERROR(VLOOKUP($A100,PERSONEL!$A$2:$C$300,3,0),""))</f>
        <v/>
      </c>
      <c r="C100" s="7">
        <f>IF($A100="","",COUNTIF('İCRA DOSYALARI'!$A$2:$A$300,$A100))</f>
        <v/>
      </c>
      <c r="D100" s="9">
        <f>IF($A100="","",SUMIF('İCRA DOSYALARI'!$A$2:$A$300,$A100,'İCRA DOSYALARI'!$I$2:$I$300))</f>
        <v/>
      </c>
      <c r="E100" s="9">
        <f>IF($A100="","",SUMIF('İCRA DOSYALARI'!$A$2:$A$300,$A100,'İCRA DOSYALARI'!$Q$2:$Q$300))</f>
        <v/>
      </c>
      <c r="F100" s="9">
        <f>IF($A100="","",SUMIF('İCRA DOSYALARI'!$A$2:$A$300,$A100,'İCRA DOSYALARI'!$R$2:$R$300))</f>
        <v/>
      </c>
      <c r="G100" s="7">
        <f>IF($A100="","",IFERROR(INDEX('İCRA DOSYALARI'!$E$2:$E$300,MATCH($A100&amp;"|ÖDEMEDE",'İCRA DOSYALARI'!$V$2:$V$300,0)),"-"))</f>
        <v/>
      </c>
      <c r="H100" s="9">
        <f>IF($A100="","",IFERROR(INDEX('İCRA DOSYALARI'!$R$2:$R$300,MATCH($A100&amp;"|ÖDEMEDE",'İCRA DOSYALARI'!$V$2:$V$300,0)),"-"))</f>
        <v/>
      </c>
      <c r="I100" s="9">
        <f>IF($A100="","",SUMIF('İCRA DOSYALARI'!$A$2:$A$300,$A100,'İCRA DOSYALARI'!$N$2:$N$300))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2026-06-09T23:06:35Z</dcterms:created>
  <dcterms:modified xsi:type="dcterms:W3CDTF">2026-06-09T23:06:35Z</dcterms:modified>
</cp:coreProperties>
</file>